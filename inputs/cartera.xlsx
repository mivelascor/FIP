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vantrust-my.sharepoint.com/personal/mariaisabel_velasco_vantrust_cl/Documents/Escritorio/"/>
    </mc:Choice>
  </mc:AlternateContent>
  <xr:revisionPtr revIDLastSave="126" documentId="8_{EBAED72C-7403-4118-B38C-8AC606D0BCA1}" xr6:coauthVersionLast="47" xr6:coauthVersionMax="47" xr10:uidLastSave="{45D53E8A-529C-4E36-8217-1700F647F867}"/>
  <bookViews>
    <workbookView xWindow="-4260" yWindow="-16320" windowWidth="29040" windowHeight="15720" xr2:uid="{BF50AF23-BEA3-4982-ADCD-4C8D2AC73F00}"/>
  </bookViews>
  <sheets>
    <sheet name="Consulta1" sheetId="2" r:id="rId1"/>
    <sheet name="instrumento" sheetId="3" r:id="rId2"/>
    <sheet name="duracion" sheetId="4" r:id="rId3"/>
    <sheet name="moneda" sheetId="5" r:id="rId4"/>
    <sheet name="Hoja1" sheetId="1" r:id="rId5"/>
  </sheets>
  <externalReferences>
    <externalReference r:id="rId6"/>
  </externalReferences>
  <definedNames>
    <definedName name="DatosExternos_1" localSheetId="0" hidden="1">'Consulta1'!$A$1:$T$746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2" l="1"/>
  <c r="B12" i="5" a="1"/>
  <c r="B2" i="5" a="1"/>
  <c r="O4" i="5" s="1"/>
  <c r="B13" i="4" a="1"/>
  <c r="C5" i="4"/>
  <c r="D5" i="4"/>
  <c r="E5" i="4"/>
  <c r="R5" i="4"/>
  <c r="S5" i="4"/>
  <c r="T5" i="4"/>
  <c r="Y5" i="4"/>
  <c r="G6" i="4"/>
  <c r="I6" i="4"/>
  <c r="S6" i="4"/>
  <c r="V6" i="4"/>
  <c r="Z6" i="4"/>
  <c r="G4" i="4"/>
  <c r="H4" i="4"/>
  <c r="I4" i="4"/>
  <c r="V4" i="4"/>
  <c r="W4" i="4"/>
  <c r="X4" i="4"/>
  <c r="D3" i="4"/>
  <c r="G3" i="4"/>
  <c r="I3" i="4"/>
  <c r="S3" i="4"/>
  <c r="V3" i="4"/>
  <c r="Z3" i="4"/>
  <c r="B2" i="4" a="1"/>
  <c r="F5" i="4" s="1"/>
  <c r="B15" i="3" a="1"/>
  <c r="Z22" i="3" s="1"/>
  <c r="V2" i="2" a="1"/>
  <c r="Z25" i="2" s="1"/>
  <c r="B1" i="3" a="1"/>
  <c r="W5" i="3" s="1"/>
  <c r="F8" i="1"/>
  <c r="F7" i="1"/>
  <c r="F6" i="1"/>
  <c r="F5" i="1"/>
  <c r="F4" i="1"/>
  <c r="W5" i="5" l="1"/>
  <c r="Y3" i="5"/>
  <c r="U5" i="5"/>
  <c r="J2" i="3"/>
  <c r="N5" i="3"/>
  <c r="L4" i="3"/>
  <c r="O3" i="3"/>
  <c r="N8" i="3"/>
  <c r="U6" i="3"/>
  <c r="J3" i="5"/>
  <c r="C5" i="5"/>
  <c r="H6" i="5"/>
  <c r="S2" i="3"/>
  <c r="R5" i="3"/>
  <c r="T4" i="3"/>
  <c r="R3" i="3"/>
  <c r="R8" i="3"/>
  <c r="L7" i="3"/>
  <c r="I3" i="5"/>
  <c r="Z4" i="5"/>
  <c r="V2" i="3"/>
  <c r="T5" i="3"/>
  <c r="X4" i="3"/>
  <c r="U3" i="3"/>
  <c r="E7" i="3"/>
  <c r="P7" i="3"/>
  <c r="T2" i="3"/>
  <c r="S5" i="3"/>
  <c r="U4" i="3"/>
  <c r="S3" i="3"/>
  <c r="T8" i="3"/>
  <c r="O7" i="3"/>
  <c r="M2" i="3"/>
  <c r="Q5" i="3"/>
  <c r="O4" i="3"/>
  <c r="Q3" i="3"/>
  <c r="Q10" i="3" s="1"/>
  <c r="Q18" i="3" s="1"/>
  <c r="Q8" i="3"/>
  <c r="Y6" i="3"/>
  <c r="D3" i="5"/>
  <c r="W4" i="5"/>
  <c r="Z6" i="5"/>
  <c r="F4" i="5"/>
  <c r="H4" i="5"/>
  <c r="H5" i="5"/>
  <c r="L6" i="5"/>
  <c r="S3" i="5"/>
  <c r="J4" i="5"/>
  <c r="I5" i="5"/>
  <c r="M6" i="5"/>
  <c r="U3" i="5"/>
  <c r="K4" i="5"/>
  <c r="N5" i="5"/>
  <c r="N6" i="5"/>
  <c r="V3" i="5"/>
  <c r="L4" i="5"/>
  <c r="R5" i="5"/>
  <c r="O6" i="5"/>
  <c r="W3" i="5"/>
  <c r="W8" i="5" s="1"/>
  <c r="W15" i="5" s="1"/>
  <c r="M4" i="5"/>
  <c r="T5" i="5"/>
  <c r="W6" i="5"/>
  <c r="X3" i="5"/>
  <c r="Y4" i="5"/>
  <c r="X5" i="5"/>
  <c r="G3" i="5"/>
  <c r="V5" i="5"/>
  <c r="K2" i="3"/>
  <c r="P5" i="3"/>
  <c r="N4" i="3"/>
  <c r="P3" i="3"/>
  <c r="O8" i="3"/>
  <c r="X6" i="3"/>
  <c r="O3" i="5"/>
  <c r="F5" i="5"/>
  <c r="H2" i="3"/>
  <c r="M5" i="3"/>
  <c r="J4" i="3"/>
  <c r="F3" i="3"/>
  <c r="M8" i="3"/>
  <c r="T6" i="3"/>
  <c r="Z2" i="3"/>
  <c r="E2" i="3"/>
  <c r="D5" i="3"/>
  <c r="F4" i="3"/>
  <c r="C3" i="3"/>
  <c r="T7" i="3"/>
  <c r="O6" i="3"/>
  <c r="X2" i="3"/>
  <c r="C2" i="3"/>
  <c r="C5" i="3"/>
  <c r="E4" i="3"/>
  <c r="D7" i="3"/>
  <c r="S7" i="3"/>
  <c r="Y6" i="5"/>
  <c r="N4" i="5"/>
  <c r="I6" i="3"/>
  <c r="Z6" i="3"/>
  <c r="V7" i="3"/>
  <c r="U8" i="3"/>
  <c r="H3" i="3"/>
  <c r="Y3" i="3"/>
  <c r="P4" i="3"/>
  <c r="G5" i="3"/>
  <c r="V5" i="3"/>
  <c r="N2" i="3"/>
  <c r="N10" i="3" s="1"/>
  <c r="K6" i="3"/>
  <c r="G7" i="3"/>
  <c r="Y7" i="3"/>
  <c r="V8" i="3"/>
  <c r="I3" i="3"/>
  <c r="Z3" i="3"/>
  <c r="Q4" i="3"/>
  <c r="H5" i="3"/>
  <c r="Y5" i="3"/>
  <c r="P2" i="3"/>
  <c r="L6" i="3"/>
  <c r="H7" i="3"/>
  <c r="Z7" i="3"/>
  <c r="Y8" i="3"/>
  <c r="L3" i="3"/>
  <c r="L10" i="3" s="1"/>
  <c r="L12" i="3" s="1"/>
  <c r="C4" i="3"/>
  <c r="R4" i="3"/>
  <c r="I5" i="3"/>
  <c r="C6" i="3"/>
  <c r="Q2" i="3"/>
  <c r="M6" i="3"/>
  <c r="I7" i="3"/>
  <c r="H8" i="3"/>
  <c r="Z8" i="3"/>
  <c r="M3" i="3"/>
  <c r="D4" i="3"/>
  <c r="S4" i="3"/>
  <c r="S10" i="3" s="1"/>
  <c r="J5" i="3"/>
  <c r="C7" i="3"/>
  <c r="R2" i="3"/>
  <c r="N6" i="3"/>
  <c r="J7" i="3"/>
  <c r="J21" i="3" s="1"/>
  <c r="J8" i="3"/>
  <c r="F7" i="3"/>
  <c r="N3" i="3"/>
  <c r="G2" i="3"/>
  <c r="F5" i="3"/>
  <c r="H4" i="3"/>
  <c r="E3" i="3"/>
  <c r="K8" i="3"/>
  <c r="Q6" i="3"/>
  <c r="F2" i="3"/>
  <c r="E5" i="3"/>
  <c r="G4" i="3"/>
  <c r="D3" i="3"/>
  <c r="U7" i="3"/>
  <c r="P6" i="3"/>
  <c r="W2" i="3"/>
  <c r="U5" i="3"/>
  <c r="Y4" i="3"/>
  <c r="V3" i="3"/>
  <c r="D6" i="3"/>
  <c r="R7" i="3"/>
  <c r="W7" i="3"/>
  <c r="K6" i="5"/>
  <c r="J6" i="5"/>
  <c r="C7" i="4"/>
  <c r="F4" i="4"/>
  <c r="W5" i="4"/>
  <c r="C6" i="4"/>
  <c r="R3" i="4"/>
  <c r="U4" i="4"/>
  <c r="R6" i="4"/>
  <c r="Q5" i="4"/>
  <c r="Q3" i="4"/>
  <c r="Q14" i="4" s="1"/>
  <c r="S4" i="4"/>
  <c r="Q6" i="4"/>
  <c r="O5" i="4"/>
  <c r="P3" i="4"/>
  <c r="Q4" i="4"/>
  <c r="P6" i="4"/>
  <c r="M5" i="4"/>
  <c r="N3" i="4"/>
  <c r="K4" i="4"/>
  <c r="N6" i="4"/>
  <c r="G5" i="4"/>
  <c r="K3" i="4"/>
  <c r="J4" i="4"/>
  <c r="K6" i="4"/>
  <c r="G17" i="4"/>
  <c r="G16" i="4"/>
  <c r="P10" i="3"/>
  <c r="P16" i="3" s="1"/>
  <c r="G9" i="4"/>
  <c r="G15" i="4" s="1"/>
  <c r="Q9" i="4"/>
  <c r="S9" i="4"/>
  <c r="S17" i="4" s="1"/>
  <c r="W13" i="5"/>
  <c r="B2" i="4"/>
  <c r="I5" i="4"/>
  <c r="I9" i="4" s="1"/>
  <c r="U5" i="4"/>
  <c r="L6" i="4"/>
  <c r="X6" i="4"/>
  <c r="M4" i="4"/>
  <c r="Y4" i="4"/>
  <c r="L3" i="4"/>
  <c r="X3" i="4"/>
  <c r="J5" i="4"/>
  <c r="V5" i="4"/>
  <c r="V9" i="4" s="1"/>
  <c r="V14" i="4" s="1"/>
  <c r="M6" i="4"/>
  <c r="Y6" i="4"/>
  <c r="N4" i="4"/>
  <c r="Z4" i="4"/>
  <c r="M3" i="4"/>
  <c r="Y3" i="4"/>
  <c r="E6" i="4"/>
  <c r="L5" i="4"/>
  <c r="X5" i="4"/>
  <c r="O6" i="4"/>
  <c r="D4" i="4"/>
  <c r="P4" i="4"/>
  <c r="C4" i="4"/>
  <c r="O3" i="4"/>
  <c r="C3" i="4"/>
  <c r="J3" i="4"/>
  <c r="T4" i="4"/>
  <c r="E4" i="4"/>
  <c r="J6" i="4"/>
  <c r="P5" i="4"/>
  <c r="D6" i="4"/>
  <c r="P3" i="5"/>
  <c r="X6" i="5"/>
  <c r="I6" i="5"/>
  <c r="O5" i="5"/>
  <c r="O8" i="5" s="1"/>
  <c r="X4" i="5"/>
  <c r="I4" i="5"/>
  <c r="B1" i="3"/>
  <c r="G6" i="3"/>
  <c r="S6" i="3"/>
  <c r="K7" i="3"/>
  <c r="X7" i="3"/>
  <c r="P8" i="3"/>
  <c r="E6" i="3"/>
  <c r="K3" i="3"/>
  <c r="W3" i="3"/>
  <c r="K4" i="3"/>
  <c r="W4" i="3"/>
  <c r="K5" i="3"/>
  <c r="X5" i="3"/>
  <c r="I2" i="3"/>
  <c r="U2" i="3"/>
  <c r="J6" i="3"/>
  <c r="V6" i="3"/>
  <c r="N7" i="3"/>
  <c r="G8" i="3"/>
  <c r="S8" i="3"/>
  <c r="O2" i="3"/>
  <c r="D2" i="3"/>
  <c r="D10" i="3" s="1"/>
  <c r="D12" i="3" s="1"/>
  <c r="O5" i="3"/>
  <c r="Z4" i="3"/>
  <c r="M4" i="3"/>
  <c r="X3" i="3"/>
  <c r="J3" i="3"/>
  <c r="F6" i="3"/>
  <c r="L8" i="3"/>
  <c r="Q7" i="3"/>
  <c r="W6" i="3"/>
  <c r="H6" i="3"/>
  <c r="W3" i="4"/>
  <c r="H3" i="4"/>
  <c r="R4" i="4"/>
  <c r="W6" i="4"/>
  <c r="H6" i="4"/>
  <c r="N5" i="4"/>
  <c r="N3" i="5"/>
  <c r="V6" i="5"/>
  <c r="F6" i="5"/>
  <c r="M5" i="5"/>
  <c r="V4" i="5"/>
  <c r="B2" i="5"/>
  <c r="D4" i="5"/>
  <c r="P4" i="5"/>
  <c r="D5" i="5"/>
  <c r="P5" i="5"/>
  <c r="D6" i="5"/>
  <c r="P6" i="5"/>
  <c r="E3" i="5"/>
  <c r="Q3" i="5"/>
  <c r="E4" i="5"/>
  <c r="Q4" i="5"/>
  <c r="E5" i="5"/>
  <c r="Q5" i="5"/>
  <c r="E6" i="5"/>
  <c r="Q6" i="5"/>
  <c r="F3" i="5"/>
  <c r="R3" i="5"/>
  <c r="G4" i="5"/>
  <c r="S4" i="5"/>
  <c r="G5" i="5"/>
  <c r="S5" i="5"/>
  <c r="G6" i="5"/>
  <c r="S6" i="5"/>
  <c r="H3" i="5"/>
  <c r="T3" i="5"/>
  <c r="M3" i="5"/>
  <c r="U6" i="5"/>
  <c r="C6" i="5"/>
  <c r="L5" i="5"/>
  <c r="U4" i="5"/>
  <c r="C4" i="5"/>
  <c r="U3" i="4"/>
  <c r="F3" i="4"/>
  <c r="O4" i="4"/>
  <c r="U6" i="4"/>
  <c r="F6" i="4"/>
  <c r="K5" i="4"/>
  <c r="C3" i="5"/>
  <c r="L3" i="5"/>
  <c r="T6" i="5"/>
  <c r="Z5" i="5"/>
  <c r="K5" i="5"/>
  <c r="T4" i="5"/>
  <c r="Y2" i="3"/>
  <c r="L2" i="3"/>
  <c r="Z5" i="3"/>
  <c r="L5" i="3"/>
  <c r="V4" i="3"/>
  <c r="I4" i="3"/>
  <c r="T3" i="3"/>
  <c r="T10" i="3" s="1"/>
  <c r="G3" i="3"/>
  <c r="X8" i="3"/>
  <c r="I8" i="3"/>
  <c r="M7" i="3"/>
  <c r="R6" i="3"/>
  <c r="W8" i="3"/>
  <c r="T3" i="4"/>
  <c r="E3" i="4"/>
  <c r="L4" i="4"/>
  <c r="T6" i="4"/>
  <c r="Z5" i="4"/>
  <c r="H5" i="4"/>
  <c r="Z3" i="5"/>
  <c r="K3" i="5"/>
  <c r="R6" i="5"/>
  <c r="Y5" i="5"/>
  <c r="J5" i="5"/>
  <c r="R4" i="5"/>
  <c r="B12" i="5"/>
  <c r="B13" i="4"/>
  <c r="O22" i="3"/>
  <c r="P22" i="3"/>
  <c r="B15" i="3"/>
  <c r="R22" i="3"/>
  <c r="G22" i="3"/>
  <c r="H22" i="3"/>
  <c r="U22" i="3"/>
  <c r="J22" i="3"/>
  <c r="W22" i="3"/>
  <c r="X22" i="3"/>
  <c r="M22" i="3"/>
  <c r="Y22" i="3"/>
  <c r="Q22" i="3"/>
  <c r="S22" i="3"/>
  <c r="T22" i="3"/>
  <c r="I22" i="3"/>
  <c r="V22" i="3"/>
  <c r="K22" i="3"/>
  <c r="L22" i="3"/>
  <c r="N22" i="3"/>
  <c r="R10" i="3"/>
  <c r="R17" i="3" s="1"/>
  <c r="J10" i="3"/>
  <c r="J19" i="3" s="1"/>
  <c r="C10" i="3"/>
  <c r="C19" i="3" s="1"/>
  <c r="Z14" i="2"/>
  <c r="Z3" i="2"/>
  <c r="Z15" i="2"/>
  <c r="Z4" i="2"/>
  <c r="Z16" i="2"/>
  <c r="Z5" i="2"/>
  <c r="Z17" i="2"/>
  <c r="Z6" i="2"/>
  <c r="Z18" i="2"/>
  <c r="Z7" i="2"/>
  <c r="Z19" i="2"/>
  <c r="Z8" i="2"/>
  <c r="Z20" i="2"/>
  <c r="Z9" i="2"/>
  <c r="Z21" i="2"/>
  <c r="Z10" i="2"/>
  <c r="Z22" i="2"/>
  <c r="Z11" i="2"/>
  <c r="Z23" i="2"/>
  <c r="Z12" i="2"/>
  <c r="Z24" i="2"/>
  <c r="V2" i="2"/>
  <c r="Z13" i="2"/>
  <c r="S12" i="3" l="1"/>
  <c r="S16" i="3"/>
  <c r="N12" i="3"/>
  <c r="N17" i="3"/>
  <c r="D8" i="5"/>
  <c r="D13" i="5" s="1"/>
  <c r="H10" i="3"/>
  <c r="C18" i="3"/>
  <c r="E10" i="3"/>
  <c r="E12" i="3" s="1"/>
  <c r="P19" i="3"/>
  <c r="Q17" i="3"/>
  <c r="S16" i="4"/>
  <c r="W14" i="5"/>
  <c r="W18" i="5" s="1"/>
  <c r="K9" i="4"/>
  <c r="K15" i="4" s="1"/>
  <c r="Y8" i="5"/>
  <c r="Z9" i="4"/>
  <c r="Z15" i="4" s="1"/>
  <c r="P18" i="3"/>
  <c r="W16" i="5"/>
  <c r="T12" i="3"/>
  <c r="T20" i="3"/>
  <c r="T19" i="3"/>
  <c r="T16" i="3"/>
  <c r="T21" i="3"/>
  <c r="T18" i="3"/>
  <c r="Y13" i="5"/>
  <c r="Y16" i="5"/>
  <c r="Y14" i="5"/>
  <c r="H12" i="3"/>
  <c r="H18" i="3"/>
  <c r="H21" i="3"/>
  <c r="H19" i="3"/>
  <c r="H16" i="3"/>
  <c r="H17" i="3"/>
  <c r="E21" i="3"/>
  <c r="Z17" i="4"/>
  <c r="Z14" i="4"/>
  <c r="I14" i="4"/>
  <c r="I15" i="4"/>
  <c r="I17" i="4"/>
  <c r="O16" i="5"/>
  <c r="O13" i="5"/>
  <c r="O14" i="5"/>
  <c r="H8" i="5"/>
  <c r="P8" i="5"/>
  <c r="P15" i="5" s="1"/>
  <c r="L17" i="3"/>
  <c r="C20" i="3"/>
  <c r="V17" i="4"/>
  <c r="T9" i="4"/>
  <c r="T16" i="4" s="1"/>
  <c r="L16" i="3"/>
  <c r="F14" i="4"/>
  <c r="F9" i="4"/>
  <c r="Q8" i="5"/>
  <c r="Q13" i="5" s="1"/>
  <c r="F10" i="3"/>
  <c r="F20" i="3"/>
  <c r="J20" i="3"/>
  <c r="M15" i="4"/>
  <c r="Q16" i="3"/>
  <c r="E9" i="4"/>
  <c r="E16" i="4" s="1"/>
  <c r="Y16" i="3"/>
  <c r="U9" i="4"/>
  <c r="U15" i="4" s="1"/>
  <c r="E8" i="5"/>
  <c r="E14" i="5" s="1"/>
  <c r="E13" i="5"/>
  <c r="N8" i="5"/>
  <c r="N13" i="5" s="1"/>
  <c r="J17" i="3"/>
  <c r="S20" i="3"/>
  <c r="Y9" i="4"/>
  <c r="Y16" i="4" s="1"/>
  <c r="S21" i="3"/>
  <c r="S14" i="4"/>
  <c r="S15" i="4"/>
  <c r="D20" i="3"/>
  <c r="W10" i="3"/>
  <c r="R20" i="3"/>
  <c r="C14" i="5"/>
  <c r="P16" i="5"/>
  <c r="N16" i="4"/>
  <c r="X17" i="3"/>
  <c r="I10" i="3"/>
  <c r="I16" i="3" s="1"/>
  <c r="M9" i="4"/>
  <c r="M16" i="4" s="1"/>
  <c r="Q15" i="4"/>
  <c r="Q17" i="4"/>
  <c r="Q16" i="4"/>
  <c r="P20" i="3"/>
  <c r="N19" i="3"/>
  <c r="P17" i="3"/>
  <c r="Y15" i="5"/>
  <c r="G14" i="5"/>
  <c r="D16" i="5"/>
  <c r="M18" i="3"/>
  <c r="J9" i="4"/>
  <c r="J15" i="4" s="1"/>
  <c r="L18" i="3"/>
  <c r="D18" i="3"/>
  <c r="E20" i="3"/>
  <c r="R16" i="5"/>
  <c r="Z15" i="5"/>
  <c r="L15" i="5"/>
  <c r="R8" i="5"/>
  <c r="R15" i="5" s="1"/>
  <c r="C9" i="4"/>
  <c r="C14" i="4" s="1"/>
  <c r="I16" i="4"/>
  <c r="D19" i="3"/>
  <c r="S8" i="5"/>
  <c r="S13" i="5" s="1"/>
  <c r="U10" i="3"/>
  <c r="U16" i="3" s="1"/>
  <c r="V10" i="3"/>
  <c r="V20" i="3" s="1"/>
  <c r="S18" i="3"/>
  <c r="R12" i="3"/>
  <c r="R18" i="3"/>
  <c r="R21" i="3"/>
  <c r="G16" i="5"/>
  <c r="C12" i="3"/>
  <c r="C17" i="3"/>
  <c r="K8" i="5"/>
  <c r="K13" i="5"/>
  <c r="F8" i="5"/>
  <c r="F16" i="5" s="1"/>
  <c r="D15" i="5"/>
  <c r="W18" i="3"/>
  <c r="O9" i="4"/>
  <c r="O16" i="4" s="1"/>
  <c r="N18" i="3"/>
  <c r="J18" i="3"/>
  <c r="Y10" i="3"/>
  <c r="G14" i="4"/>
  <c r="G20" i="4" s="1"/>
  <c r="V15" i="4"/>
  <c r="Z8" i="5"/>
  <c r="Z13" i="5"/>
  <c r="Q16" i="5"/>
  <c r="H9" i="4"/>
  <c r="H15" i="4" s="1"/>
  <c r="H14" i="4"/>
  <c r="O15" i="5"/>
  <c r="G8" i="5"/>
  <c r="G13" i="5" s="1"/>
  <c r="R19" i="3"/>
  <c r="M10" i="3"/>
  <c r="V8" i="5"/>
  <c r="R16" i="3"/>
  <c r="L21" i="3"/>
  <c r="S19" i="3"/>
  <c r="J12" i="3"/>
  <c r="J16" i="3"/>
  <c r="J23" i="3" s="1"/>
  <c r="T17" i="3"/>
  <c r="C8" i="5"/>
  <c r="C15" i="5" s="1"/>
  <c r="C13" i="5"/>
  <c r="M8" i="5"/>
  <c r="M15" i="5" s="1"/>
  <c r="M13" i="5"/>
  <c r="E16" i="5"/>
  <c r="D14" i="5"/>
  <c r="W9" i="4"/>
  <c r="W17" i="4" s="1"/>
  <c r="W14" i="4"/>
  <c r="O16" i="3"/>
  <c r="W17" i="3"/>
  <c r="V16" i="4"/>
  <c r="I8" i="5"/>
  <c r="I14" i="5" s="1"/>
  <c r="S17" i="3"/>
  <c r="D17" i="3"/>
  <c r="O10" i="3"/>
  <c r="O19" i="3" s="1"/>
  <c r="C21" i="3"/>
  <c r="N9" i="4"/>
  <c r="N16" i="3"/>
  <c r="P9" i="4"/>
  <c r="X8" i="5"/>
  <c r="Z10" i="3"/>
  <c r="Z18" i="3" s="1"/>
  <c r="L8" i="5"/>
  <c r="L13" i="5"/>
  <c r="P14" i="5"/>
  <c r="D16" i="3"/>
  <c r="C15" i="4"/>
  <c r="Q12" i="3"/>
  <c r="Q19" i="3"/>
  <c r="Q20" i="3"/>
  <c r="Z16" i="4"/>
  <c r="I18" i="3"/>
  <c r="T8" i="5"/>
  <c r="T15" i="5" s="1"/>
  <c r="T13" i="5"/>
  <c r="Q15" i="5"/>
  <c r="H20" i="3"/>
  <c r="K10" i="3"/>
  <c r="K18" i="3" s="1"/>
  <c r="K17" i="3"/>
  <c r="C16" i="3"/>
  <c r="P12" i="3"/>
  <c r="P21" i="3"/>
  <c r="D21" i="3"/>
  <c r="F17" i="4"/>
  <c r="X9" i="4"/>
  <c r="X15" i="4" s="1"/>
  <c r="U8" i="5"/>
  <c r="L20" i="3"/>
  <c r="G10" i="3"/>
  <c r="G17" i="3" s="1"/>
  <c r="X10" i="3"/>
  <c r="X21" i="3" s="1"/>
  <c r="L15" i="4"/>
  <c r="L19" i="3"/>
  <c r="Q14" i="5"/>
  <c r="Q21" i="3"/>
  <c r="N21" i="3"/>
  <c r="L9" i="4"/>
  <c r="L17" i="4" s="1"/>
  <c r="L14" i="4"/>
  <c r="R9" i="4"/>
  <c r="R15" i="4" s="1"/>
  <c r="J8" i="5"/>
  <c r="J15" i="5" s="1"/>
  <c r="D9" i="4"/>
  <c r="D15" i="4" s="1"/>
  <c r="N20" i="3"/>
  <c r="E17" i="4" l="1"/>
  <c r="Z19" i="3"/>
  <c r="X16" i="4"/>
  <c r="D18" i="5"/>
  <c r="K17" i="4"/>
  <c r="T23" i="3"/>
  <c r="P23" i="3"/>
  <c r="L16" i="4"/>
  <c r="E16" i="3"/>
  <c r="E23" i="3" s="1"/>
  <c r="Q20" i="4"/>
  <c r="P13" i="5"/>
  <c r="P18" i="5" s="1"/>
  <c r="E18" i="3"/>
  <c r="K14" i="4"/>
  <c r="E15" i="4"/>
  <c r="K16" i="4"/>
  <c r="T14" i="5"/>
  <c r="D17" i="4"/>
  <c r="V20" i="4"/>
  <c r="C23" i="3"/>
  <c r="E17" i="3"/>
  <c r="X19" i="3"/>
  <c r="M14" i="4"/>
  <c r="M20" i="4" s="1"/>
  <c r="U14" i="4"/>
  <c r="E19" i="3"/>
  <c r="Y17" i="4"/>
  <c r="S23" i="3"/>
  <c r="O14" i="4"/>
  <c r="R13" i="5"/>
  <c r="R18" i="5" s="1"/>
  <c r="Y14" i="4"/>
  <c r="R14" i="5"/>
  <c r="K14" i="5"/>
  <c r="K16" i="5"/>
  <c r="V15" i="5"/>
  <c r="V13" i="5"/>
  <c r="X15" i="5"/>
  <c r="X13" i="5"/>
  <c r="P14" i="4"/>
  <c r="P17" i="4"/>
  <c r="U15" i="5"/>
  <c r="U13" i="5"/>
  <c r="K12" i="3"/>
  <c r="K16" i="3"/>
  <c r="K20" i="3"/>
  <c r="M12" i="3"/>
  <c r="M20" i="3"/>
  <c r="M16" i="3"/>
  <c r="M19" i="3"/>
  <c r="M17" i="3"/>
  <c r="Z16" i="5"/>
  <c r="Z14" i="5"/>
  <c r="Z18" i="5" s="1"/>
  <c r="K19" i="3"/>
  <c r="K15" i="5"/>
  <c r="F14" i="5"/>
  <c r="F15" i="5"/>
  <c r="W12" i="3"/>
  <c r="W19" i="3"/>
  <c r="W21" i="3"/>
  <c r="W16" i="3"/>
  <c r="P16" i="4"/>
  <c r="Y12" i="3"/>
  <c r="Y18" i="3"/>
  <c r="Y17" i="3"/>
  <c r="Y20" i="3"/>
  <c r="Y19" i="3"/>
  <c r="Y21" i="3"/>
  <c r="G20" i="3"/>
  <c r="H23" i="3"/>
  <c r="P15" i="4"/>
  <c r="M17" i="4"/>
  <c r="C16" i="5"/>
  <c r="C18" i="5" s="1"/>
  <c r="V12" i="3"/>
  <c r="V21" i="3"/>
  <c r="V19" i="3"/>
  <c r="V17" i="3"/>
  <c r="V16" i="3"/>
  <c r="E15" i="5"/>
  <c r="E18" i="5" s="1"/>
  <c r="O15" i="4"/>
  <c r="O20" i="4" s="1"/>
  <c r="W20" i="3"/>
  <c r="S15" i="5"/>
  <c r="J13" i="5"/>
  <c r="J14" i="5"/>
  <c r="J16" i="5"/>
  <c r="O12" i="3"/>
  <c r="O17" i="3"/>
  <c r="O18" i="3"/>
  <c r="O20" i="3"/>
  <c r="O21" i="3"/>
  <c r="Y20" i="4"/>
  <c r="H14" i="5"/>
  <c r="H16" i="5"/>
  <c r="H15" i="5"/>
  <c r="D23" i="3"/>
  <c r="U14" i="5"/>
  <c r="F12" i="3"/>
  <c r="F21" i="3"/>
  <c r="F18" i="3"/>
  <c r="F19" i="3"/>
  <c r="F17" i="3"/>
  <c r="F16" i="3"/>
  <c r="F23" i="3" s="1"/>
  <c r="X14" i="4"/>
  <c r="X20" i="4" s="1"/>
  <c r="M16" i="5"/>
  <c r="M14" i="5"/>
  <c r="M18" i="5" s="1"/>
  <c r="V16" i="5"/>
  <c r="Y15" i="4"/>
  <c r="O18" i="5"/>
  <c r="T17" i="4"/>
  <c r="I13" i="5"/>
  <c r="I15" i="5"/>
  <c r="V14" i="5"/>
  <c r="M21" i="3"/>
  <c r="T15" i="4"/>
  <c r="Q18" i="5"/>
  <c r="Y18" i="5"/>
  <c r="L14" i="5"/>
  <c r="L16" i="5"/>
  <c r="F13" i="5"/>
  <c r="U16" i="4"/>
  <c r="E14" i="4"/>
  <c r="E20" i="4" s="1"/>
  <c r="S16" i="5"/>
  <c r="D14" i="4"/>
  <c r="D16" i="4"/>
  <c r="U17" i="4"/>
  <c r="Z21" i="3"/>
  <c r="Z16" i="3"/>
  <c r="Z20" i="3"/>
  <c r="Z17" i="3"/>
  <c r="Z12" i="3"/>
  <c r="I16" i="5"/>
  <c r="H16" i="4"/>
  <c r="T16" i="5"/>
  <c r="U12" i="3"/>
  <c r="U17" i="3"/>
  <c r="U21" i="3"/>
  <c r="U20" i="3"/>
  <c r="U18" i="3"/>
  <c r="U19" i="3"/>
  <c r="J14" i="4"/>
  <c r="I12" i="3"/>
  <c r="I19" i="3"/>
  <c r="I20" i="3"/>
  <c r="I21" i="3"/>
  <c r="I17" i="3"/>
  <c r="O17" i="4"/>
  <c r="Q23" i="3"/>
  <c r="F15" i="4"/>
  <c r="F16" i="4"/>
  <c r="V18" i="3"/>
  <c r="I20" i="4"/>
  <c r="N14" i="5"/>
  <c r="N16" i="5"/>
  <c r="N15" i="5"/>
  <c r="Z20" i="4"/>
  <c r="L23" i="3"/>
  <c r="J16" i="4"/>
  <c r="W20" i="4"/>
  <c r="J17" i="4"/>
  <c r="R14" i="4"/>
  <c r="R17" i="4"/>
  <c r="R16" i="4"/>
  <c r="L20" i="4"/>
  <c r="X12" i="3"/>
  <c r="X18" i="3"/>
  <c r="X16" i="3"/>
  <c r="X20" i="3"/>
  <c r="N23" i="3"/>
  <c r="S20" i="4"/>
  <c r="G12" i="3"/>
  <c r="G19" i="3"/>
  <c r="G18" i="3"/>
  <c r="G16" i="3"/>
  <c r="G21" i="3"/>
  <c r="N14" i="4"/>
  <c r="N17" i="4"/>
  <c r="W15" i="4"/>
  <c r="W16" i="4"/>
  <c r="X14" i="5"/>
  <c r="N15" i="4"/>
  <c r="H17" i="4"/>
  <c r="H20" i="4" s="1"/>
  <c r="S14" i="5"/>
  <c r="G15" i="5"/>
  <c r="G18" i="5" s="1"/>
  <c r="K21" i="3"/>
  <c r="T14" i="4"/>
  <c r="K20" i="4"/>
  <c r="X16" i="5"/>
  <c r="R23" i="3"/>
  <c r="U16" i="5"/>
  <c r="C16" i="4"/>
  <c r="C18" i="4"/>
  <c r="C17" i="4"/>
  <c r="X17" i="4"/>
  <c r="H13" i="5"/>
  <c r="L18" i="5" l="1"/>
  <c r="Y23" i="3"/>
  <c r="K18" i="5"/>
  <c r="U20" i="4"/>
  <c r="S18" i="5"/>
  <c r="F20" i="4"/>
  <c r="O23" i="3"/>
  <c r="U23" i="3"/>
  <c r="N18" i="5"/>
  <c r="C20" i="4"/>
  <c r="T18" i="5"/>
  <c r="I23" i="3"/>
  <c r="M23" i="3"/>
  <c r="D20" i="4"/>
  <c r="V23" i="3"/>
  <c r="X18" i="5"/>
  <c r="X23" i="3"/>
  <c r="I18" i="5"/>
  <c r="N20" i="4"/>
  <c r="V18" i="5"/>
  <c r="K23" i="3"/>
  <c r="P20" i="4"/>
  <c r="T20" i="4"/>
  <c r="G23" i="3"/>
  <c r="F18" i="5"/>
  <c r="H18" i="5"/>
  <c r="U18" i="5"/>
  <c r="R20" i="4"/>
  <c r="J20" i="4"/>
  <c r="J18" i="5"/>
  <c r="Z23" i="3"/>
  <c r="W2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0E8650-59EB-4F72-A17F-63B966FE26A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<sst xmlns="http://schemas.openxmlformats.org/spreadsheetml/2006/main" count="10538" uniqueCount="1382">
  <si>
    <t>NOMBRE</t>
  </si>
  <si>
    <t>IDENTIFICADOR</t>
  </si>
  <si>
    <t>NUM_CUENTA</t>
  </si>
  <si>
    <t>DSC_CUENTA</t>
  </si>
  <si>
    <t>NEMOTECNICO</t>
  </si>
  <si>
    <t>COD_MONEDA</t>
  </si>
  <si>
    <t>FECHA_EMISION</t>
  </si>
  <si>
    <t>FECHA_VENCIMIENTO</t>
  </si>
  <si>
    <t>ING_MONTO_COMPRA</t>
  </si>
  <si>
    <t>SUB CLASE</t>
  </si>
  <si>
    <t>FECHA CIERRE</t>
  </si>
  <si>
    <t>CANTIDAD</t>
  </si>
  <si>
    <t>VALOR_PRESENTE_MERCADO</t>
  </si>
  <si>
    <t>VALOR_PRESENTE_MERCADO_MON_CTA</t>
  </si>
  <si>
    <t>VEHICULO</t>
  </si>
  <si>
    <t>DIEGO PABLO MANZANO</t>
  </si>
  <si>
    <t>76637334-8</t>
  </si>
  <si>
    <t>76637334-8/0</t>
  </si>
  <si>
    <t>FIP VANTRUST LIQUIDEZ ACTIVA</t>
  </si>
  <si>
    <t>CLP</t>
  </si>
  <si>
    <t>PRCLP</t>
  </si>
  <si>
    <t>Gestion Patrimonial</t>
  </si>
  <si>
    <t>ONGABR040526</t>
  </si>
  <si>
    <t>ONGABR070526</t>
  </si>
  <si>
    <t>ONGABR130526</t>
  </si>
  <si>
    <t>ONGABR140526</t>
  </si>
  <si>
    <t>ONGABR150526</t>
  </si>
  <si>
    <t>ONGABR180526</t>
  </si>
  <si>
    <t>ONGABR220526</t>
  </si>
  <si>
    <t>ONGABR290526</t>
  </si>
  <si>
    <t>ONGABR010626</t>
  </si>
  <si>
    <t>ONGABR020626</t>
  </si>
  <si>
    <t>MURIEL IVANIA STIPELCOVICH</t>
  </si>
  <si>
    <t>77270966-8</t>
  </si>
  <si>
    <t>77270966-8/0</t>
  </si>
  <si>
    <t>FIP VANTRUST LIQUIDEZ ALTO APORTE</t>
  </si>
  <si>
    <t>ONGABR050526</t>
  </si>
  <si>
    <t>ONGABR110526</t>
  </si>
  <si>
    <t>ONGABR120526</t>
  </si>
  <si>
    <t>ONGABR250526</t>
  </si>
  <si>
    <t>ONGABR260526</t>
  </si>
  <si>
    <t>ONGABR270526</t>
  </si>
  <si>
    <t>ONVNT-030626</t>
  </si>
  <si>
    <t>ONVNT-040526</t>
  </si>
  <si>
    <t>ONVNT-050526</t>
  </si>
  <si>
    <t>ONVNT-110526</t>
  </si>
  <si>
    <t>ONVNT-120526</t>
  </si>
  <si>
    <t>ONVNT-130526</t>
  </si>
  <si>
    <t>ONVNT-140526</t>
  </si>
  <si>
    <t>ONVNT-180526</t>
  </si>
  <si>
    <t>ONVNT-270526</t>
  </si>
  <si>
    <t>OUVNT-290526</t>
  </si>
  <si>
    <t>UF</t>
  </si>
  <si>
    <t>PRUF</t>
  </si>
  <si>
    <t>MARTIN SALVADOR DIAZ</t>
  </si>
  <si>
    <t>76933995-7</t>
  </si>
  <si>
    <t>FIP VANTRUST LIQUIDEZ ALTO CAPITAL</t>
  </si>
  <si>
    <t>ONVNT-150526</t>
  </si>
  <si>
    <t>77414857-4</t>
  </si>
  <si>
    <t>77414857-4/0</t>
  </si>
  <si>
    <t>FIP VANTRUST LIQUIDEZ ALTO MONTO</t>
  </si>
  <si>
    <t>ONGABR080526</t>
  </si>
  <si>
    <t>ONGABR280526</t>
  </si>
  <si>
    <t>ONVNT-080526</t>
  </si>
  <si>
    <t>76933989-2</t>
  </si>
  <si>
    <t>FIP VANTRUST LIQUIDEZ CAJA</t>
  </si>
  <si>
    <t>ONVNT-260526</t>
  </si>
  <si>
    <t>77806944-K</t>
  </si>
  <si>
    <t>77806944-K/0</t>
  </si>
  <si>
    <t>FIP VANTRUST LIQUIDEZ CONTINUA</t>
  </si>
  <si>
    <t>ONGABR030626</t>
  </si>
  <si>
    <t>ONGABR200526</t>
  </si>
  <si>
    <t>ONVNT-020626</t>
  </si>
  <si>
    <t>77428236-K</t>
  </si>
  <si>
    <t>77428236-K/0</t>
  </si>
  <si>
    <t>FIP VANTRUST LIQUIDEZ CORRIENTE</t>
  </si>
  <si>
    <t>ONVNT-290526</t>
  </si>
  <si>
    <t>77806943-1</t>
  </si>
  <si>
    <t>77806943-1/0</t>
  </si>
  <si>
    <t>FIP VANTRUST LIQUIDEZ CORTO PLAZO</t>
  </si>
  <si>
    <t>76623064-4</t>
  </si>
  <si>
    <t>76623064-4/0</t>
  </si>
  <si>
    <t>FIP VANTRUST LIQUIDEZ DISPONIBLE I</t>
  </si>
  <si>
    <t>OUVNT-150526</t>
  </si>
  <si>
    <t>77270965-K</t>
  </si>
  <si>
    <t>77270965-K/0</t>
  </si>
  <si>
    <t>FIP VANTRUST LIQUIDEZ DOLAR</t>
  </si>
  <si>
    <t>GASA III - SERIE A</t>
  </si>
  <si>
    <t>USD</t>
  </si>
  <si>
    <t>NOTAALICUO</t>
  </si>
  <si>
    <t>PRUS</t>
  </si>
  <si>
    <t>O*VNT-070526</t>
  </si>
  <si>
    <t>O*VNT-180526</t>
  </si>
  <si>
    <t>O*VNT-260526</t>
  </si>
  <si>
    <t>77697015-8</t>
  </si>
  <si>
    <t>77697015-8/0</t>
  </si>
  <si>
    <t>FIP VANTRUST LIQUIDEZ DOLAR CAJA</t>
  </si>
  <si>
    <t>77270964-1</t>
  </si>
  <si>
    <t>77270964-1/0</t>
  </si>
  <si>
    <t>FIP VANTRUST LIQUIDEZ EFECTIVO</t>
  </si>
  <si>
    <t>76637336-4</t>
  </si>
  <si>
    <t>76637336-4/0</t>
  </si>
  <si>
    <t>FIP VANTRUST LIQUIDEZ FLEXIBLE</t>
  </si>
  <si>
    <t>77155267-6</t>
  </si>
  <si>
    <t>FIP VANTRUST LIQUIDEZ I</t>
  </si>
  <si>
    <t>ONVNT-250526</t>
  </si>
  <si>
    <t>77414856-6</t>
  </si>
  <si>
    <t>77414856-6/0</t>
  </si>
  <si>
    <t>FIP VANTRUST LIQUIDEZ LOCAL</t>
  </si>
  <si>
    <t>76623036-9</t>
  </si>
  <si>
    <t>76623036-9/0</t>
  </si>
  <si>
    <t>FIP VANTRUST LIQUIDEZ MONETARIO I</t>
  </si>
  <si>
    <t>77806942-3</t>
  </si>
  <si>
    <t>77806942-3/0</t>
  </si>
  <si>
    <t>FIP VANTRUST LIQUIDEZ PERMANENTE</t>
  </si>
  <si>
    <t>77414858-2</t>
  </si>
  <si>
    <t>77414858-2/0</t>
  </si>
  <si>
    <t>FIP VANTRUST LIQUIDEZ PLUS</t>
  </si>
  <si>
    <t>ONVNT-220526</t>
  </si>
  <si>
    <t>OUVNT-260526</t>
  </si>
  <si>
    <t>77414855-8</t>
  </si>
  <si>
    <t>77414855-8/0</t>
  </si>
  <si>
    <t>FIP VANTRUST LIQUIDEZ PRESENTE</t>
  </si>
  <si>
    <t>77270963-3</t>
  </si>
  <si>
    <t>FIP VANTRUST LIQUIDEZ RENDIMIENTO</t>
  </si>
  <si>
    <t>76637335-6</t>
  </si>
  <si>
    <t>76637335-6/0</t>
  </si>
  <si>
    <t>FIP VANTRUST LIQUIDEZ RESERVA DOLAR</t>
  </si>
  <si>
    <t>O*VNT-040526</t>
  </si>
  <si>
    <t>O*VNT-270526</t>
  </si>
  <si>
    <t>O*VNT-280526</t>
  </si>
  <si>
    <t>76933993-0</t>
  </si>
  <si>
    <t>FIP VANTRUST LIQUIDEZ SENCILLO</t>
  </si>
  <si>
    <t>76639716-6</t>
  </si>
  <si>
    <t>76639716-6/0</t>
  </si>
  <si>
    <t>FIP VANTRUST LIQUIDEZ TEMPORAL</t>
  </si>
  <si>
    <t>OBSERVACION</t>
  </si>
  <si>
    <t>DIAS AL VCTO</t>
  </si>
  <si>
    <t>FACTOR_360</t>
  </si>
  <si>
    <t>TRAMO</t>
  </si>
  <si>
    <t xml:space="preserve">DON GABRIEL </t>
  </si>
  <si>
    <t>Entre 91 y 120 días</t>
  </si>
  <si>
    <t>DON GABRIEL SPA (13-07-2022)</t>
  </si>
  <si>
    <t>Hasta 30 días</t>
  </si>
  <si>
    <t>DON GABRIEL (14-03-2024)</t>
  </si>
  <si>
    <t>Entre 31 y 90 días</t>
  </si>
  <si>
    <t>DON GABRIEL (13-07-2022)</t>
  </si>
  <si>
    <t>DON GABRIEL (20-08-2024)</t>
  </si>
  <si>
    <t>DON GABRIEL (13-07-2023)</t>
  </si>
  <si>
    <t>DON GABRIEL</t>
  </si>
  <si>
    <t>DON GABRIEL (21-02-2023)</t>
  </si>
  <si>
    <t>DON GABRIEL (15-02-2021)</t>
  </si>
  <si>
    <t>14-03-24</t>
  </si>
  <si>
    <t>DON GABRIEL SPA (20-08-2024)</t>
  </si>
  <si>
    <t>DON GABRIEL (21-11-24)</t>
  </si>
  <si>
    <t>DON GABRIEL (21-02-23)</t>
  </si>
  <si>
    <t>POSICION VNT FI ACCIONES NACIONALES 31-03-2023</t>
  </si>
  <si>
    <t>VNT POSICION EL TRANQUE TER-B 11-04-2023</t>
  </si>
  <si>
    <t>20VO FINANCIAMIENTO PATRONATO 23-06-2023</t>
  </si>
  <si>
    <t>A.CAPITAL VNT FACTORING 17-04-2023</t>
  </si>
  <si>
    <t>VNT (BAYONA EXTENSION REG.MOV.(ORIGEN 31-07-2020))</t>
  </si>
  <si>
    <t>BAYONA EXTENSION 31-07-2020</t>
  </si>
  <si>
    <t>VNT POSICION BODEGAS II-SERIE A 11-04-2023</t>
  </si>
  <si>
    <t>17VO FINANCIAMIENTO PATRONATO 03-04-2023</t>
  </si>
  <si>
    <t>VNT (TESORERIA VNT 27-03-26)</t>
  </si>
  <si>
    <t>SEGUNDA OPERACION MIAMI 07-05-25</t>
  </si>
  <si>
    <t>NOTA PROYECTO URBES</t>
  </si>
  <si>
    <t>VNT (CESION DFELL-BANCO ESTADO 03-08-2023)</t>
  </si>
  <si>
    <t>21-02-2023</t>
  </si>
  <si>
    <t>13-07-2022</t>
  </si>
  <si>
    <t>VNT (CESION DELL-BANCO ESTADO 03-08-2023))</t>
  </si>
  <si>
    <t>POSICION PATRONATO II PLUS 13-03-2023</t>
  </si>
  <si>
    <t>DON GABRIEL SPA</t>
  </si>
  <si>
    <t>VNT (NOTA GROUPON 07-03-2023))</t>
  </si>
  <si>
    <t>VNT (POSICION VNT PATRONATO 31-03-2023)</t>
  </si>
  <si>
    <t>VNT (PAGARE RODRIGO GONZALEZ (VIENA) 13-04-2021)</t>
  </si>
  <si>
    <t>Entre 1 y 2 años</t>
  </si>
  <si>
    <t>VNT (TESORERIA VNT 30-01-25)</t>
  </si>
  <si>
    <t>VNT (TESORERIA VNT 22-09-2025)</t>
  </si>
  <si>
    <t>VNT (TESORERIA VNT 17-11-25)</t>
  </si>
  <si>
    <t>VNT (TESORERIA VNT 01-10-25)</t>
  </si>
  <si>
    <t>VNT (CREDITO P.REYES MATURANA 30-01-2023)</t>
  </si>
  <si>
    <t>CESION DELL-BANCO ESTADO 03-08-2023</t>
  </si>
  <si>
    <t>VNT (CUPON SAN FRANCISCO II 29-03-2020)</t>
  </si>
  <si>
    <t>VNT (VCTO.EXTENSION INTERESES 26-02-2021)</t>
  </si>
  <si>
    <t>DON GABRIEL (DON GABRIEL)</t>
  </si>
  <si>
    <t>VNT (POSICION BODEGA II-SERIE A 06-04-2023</t>
  </si>
  <si>
    <t>VNT (TESORERIA VNT 24-05-2024)</t>
  </si>
  <si>
    <t>VNT (TESORERIA FONDO-CLP 06-12-2022)</t>
  </si>
  <si>
    <t>VNT (TESORERIA VNT 19-03-25)</t>
  </si>
  <si>
    <t>VNT (08-01-2026)</t>
  </si>
  <si>
    <t>VNT (TESORERIA VNT 11-07-2024)</t>
  </si>
  <si>
    <t>VNT (TESORERIA VNT 29-08-2024)</t>
  </si>
  <si>
    <t>Observacion</t>
  </si>
  <si>
    <t>Clasificación</t>
  </si>
  <si>
    <t>VNT (GARANTIA AGF 27-07-2020)</t>
  </si>
  <si>
    <t>FMX</t>
  </si>
  <si>
    <t>VNT (TESORERIA VNT 24-01-25)</t>
  </si>
  <si>
    <t>TESORERIA VNT 24-01-25</t>
  </si>
  <si>
    <t>DON GABRIEL (18-08-2023)</t>
  </si>
  <si>
    <t>VNT (1ER APORTE EXTRAORDINARIO ERA 17-03-2023)</t>
  </si>
  <si>
    <t>Inmob</t>
  </si>
  <si>
    <t>VNT (OPERACIÓN 6 URBES 10,000 UF 22-03-2021)</t>
  </si>
  <si>
    <t>4TO FINANCIAMIENTO PATRONATO 2360 UF/31,41 DIF A VNT</t>
  </si>
  <si>
    <t>TESORERIA VNT 28-08-2024</t>
  </si>
  <si>
    <t>NOTA VENDOR CONJUNYA/INGRAM MICRO CHILE 17-02-23</t>
  </si>
  <si>
    <t>2DA CUOTA(ORIGEN CC.25.000UF) CERRO EL PLOMO 20-10-2022</t>
  </si>
  <si>
    <t>FI ACC NACIONALES 11-11-2020</t>
  </si>
  <si>
    <t>Pagare</t>
  </si>
  <si>
    <t>A.CAPITAL VANTRUST I</t>
  </si>
  <si>
    <t>20VO FINANCIAMIENTO CONTRUST 13-04-2023</t>
  </si>
  <si>
    <t>POSICION SAN FRANCISCO TER 16-03-2023</t>
  </si>
  <si>
    <t>VNT (TESORERIA VNT 05-06-25)</t>
  </si>
  <si>
    <t>PAGO NOTA SAN LUIS BIS 20-02-2023</t>
  </si>
  <si>
    <t>AGRO ENTRE RIOS SPA    ;77819950-5    ;1593</t>
  </si>
  <si>
    <t>FACTURA</t>
  </si>
  <si>
    <t>AGRO ENTRE RIOS SPA    ;77819950-5    ;1591</t>
  </si>
  <si>
    <t>DON GABRIEL (29-08-2023)</t>
  </si>
  <si>
    <t>VNT (INTERESES INMOBILIARIA ORIGEN 29-09-2023)</t>
  </si>
  <si>
    <t>15-02-2023</t>
  </si>
  <si>
    <t>15-02-2021</t>
  </si>
  <si>
    <t>DON GABRIEL (21-02-2022)</t>
  </si>
  <si>
    <t>VNT (GARANTIA AGF)</t>
  </si>
  <si>
    <t>TESORERIA VNR 30-01-25</t>
  </si>
  <si>
    <t>VNT (TESORERIA VNT 10-06-25)</t>
  </si>
  <si>
    <t>PAGARE RODRIGO GONZALEZ (VIENA) 13-04-2021</t>
  </si>
  <si>
    <t>Garantia</t>
  </si>
  <si>
    <t>BAYONA EXTENSION REG.MOV. (ORIGEN 31-07-2020)</t>
  </si>
  <si>
    <t>BAYONA EXTENSION CAPITAL 26-02-2021</t>
  </si>
  <si>
    <t>NOTA LINARES</t>
  </si>
  <si>
    <t>BAYONA EXTENSION INTERESES 26-02-2021</t>
  </si>
  <si>
    <t>NOTA VENDOR CONJUNTA / IMPORTACIONES Y SERVICIOS ADVANCED COMPUTING TECHNOLOGIES S.A. 14-04-2023</t>
  </si>
  <si>
    <t>2DA CUOTA(ORIGEN CC 13095UF) CERRO EL PLOMO 20-10-2022</t>
  </si>
  <si>
    <t>VNT POSICION PUNTA DEL ESTE 03-04-2023</t>
  </si>
  <si>
    <t>VENCIMIENTO NOTA ESTRUCTURADA JPJ</t>
  </si>
  <si>
    <t>VNT (EGRESOS NOTA SAN LUIS BIS-C)</t>
  </si>
  <si>
    <t>OPERACION VENDOR DELL SOPROLE 25-08-2023</t>
  </si>
  <si>
    <t>PAGO CAPITAL NOTA PARQUE SUR</t>
  </si>
  <si>
    <t>VNT (SAN FRANCISCO IM)</t>
  </si>
  <si>
    <t>VNT (15VO FINANCIAMIENTO PATRONATO)</t>
  </si>
  <si>
    <t>CUPON SAN FRANCISCO III 29-03-2020</t>
  </si>
  <si>
    <t/>
  </si>
  <si>
    <t>GARANTIA AGF</t>
  </si>
  <si>
    <t>VNT POSICION PATRONATO TER-B 03-04-2023</t>
  </si>
  <si>
    <t>VCTO SAN FRANCISCO III</t>
  </si>
  <si>
    <t>VNT (CESION DELL-BANCO ESTADO 03-08-2023)</t>
  </si>
  <si>
    <t>VNT (TESORERIA VNT 10-03-25)</t>
  </si>
  <si>
    <t>VNT (TESORERIA VNT 12-06-25)</t>
  </si>
  <si>
    <t>DON GABRIEL (11-10-2023)</t>
  </si>
  <si>
    <t>TESORERIA VNT 10-03-25</t>
  </si>
  <si>
    <t>18VO FINANCIAMIENTO PATRONATO 12-04-2023</t>
  </si>
  <si>
    <t>11-10-2023</t>
  </si>
  <si>
    <t>VCTO.SAN FRANCISCO II</t>
  </si>
  <si>
    <t>CESION DELL - BANCO ESTADO 03-08-2023</t>
  </si>
  <si>
    <t>13-07-2023</t>
  </si>
  <si>
    <t>VNT (NOTA GASA 8FINANC9</t>
  </si>
  <si>
    <t>TESORERIA VNT 03-03-25</t>
  </si>
  <si>
    <t>TESORERIA VNT 11-07-2024</t>
  </si>
  <si>
    <t>6TO APORTE ADICIONAL ORIGEN 31-03-2023</t>
  </si>
  <si>
    <t>14-04-2024</t>
  </si>
  <si>
    <t>DON GABRIEL (14-04-2024)</t>
  </si>
  <si>
    <t>VNT (AGF 09-01-2023)</t>
  </si>
  <si>
    <t>VNT (FINANCIAMIENTO PATRONATO 03-04-2023)</t>
  </si>
  <si>
    <t>VNT (TESORERIA VNT 03-03-25)</t>
  </si>
  <si>
    <t>VNT (POSICION NOTA BODEGA III 20-12-2022)</t>
  </si>
  <si>
    <t>DON GABRIEL (21-02-2023))</t>
  </si>
  <si>
    <t>TESORERIA VNT 29-08-2024</t>
  </si>
  <si>
    <t>VNT (NOTA GROUPON 07-03-2023)</t>
  </si>
  <si>
    <t>VNT (KP PADRE WERNER)</t>
  </si>
  <si>
    <t>5TO FINANCIAMIENTO INMOBILIARIO ORIGEN SPA</t>
  </si>
  <si>
    <t>5 DE ABRIL LOS AROMOS</t>
  </si>
  <si>
    <t>POSICION FI VANTRUST INMOBILIARIA IV</t>
  </si>
  <si>
    <t>(INMOBILIARIA PARQUE LOS ALERCES 28-10-2022)</t>
  </si>
  <si>
    <t>POSICION VNT PATRONATO 31-03-2023</t>
  </si>
  <si>
    <t>DON GABRIEL (DON GRABRIEL)</t>
  </si>
  <si>
    <t>TESORERIA VNT 08-11-2024</t>
  </si>
  <si>
    <t>VNT (TESORERIA VNT 08-11-2024)</t>
  </si>
  <si>
    <t>16VO FINANCIAMIENTO PATRONATO</t>
  </si>
  <si>
    <t>DON GABRIEL SPA (11-10-2023)</t>
  </si>
  <si>
    <t>11-07-2022</t>
  </si>
  <si>
    <t>INMOBILIARIA PARQUE LOS ALERCES</t>
  </si>
  <si>
    <t>VNT (TESORERIA VNT 11-02-25)</t>
  </si>
  <si>
    <t>DON GABRIEL SPA (13-12-24)</t>
  </si>
  <si>
    <t>DON GABRIEL (13-12-24)</t>
  </si>
  <si>
    <t>TESORERIA VNT 11-02-25</t>
  </si>
  <si>
    <t>13-12-24</t>
  </si>
  <si>
    <t>VNT (TESORERIA VNT)</t>
  </si>
  <si>
    <t>VNT (TESORERIA VNT 15-01-25)</t>
  </si>
  <si>
    <t>TESORERIA VNT 15-01-25</t>
  </si>
  <si>
    <t>DON GABRIEL (08-07-2022)</t>
  </si>
  <si>
    <t>2DA OPERACION SANTA JULIA 17-10-19</t>
  </si>
  <si>
    <t>VNT POSICION PATRONATO II PLUS 03-04-2023</t>
  </si>
  <si>
    <t>14-03-2024</t>
  </si>
  <si>
    <t>POSICION SAN FRANCISCO BIS-B</t>
  </si>
  <si>
    <t>CAPITAL HMAN 156-12-2023</t>
  </si>
  <si>
    <t>DON GABRIEL (14-03-24)</t>
  </si>
  <si>
    <t>VNT (CAPITALHMAN 15-12-2023)</t>
  </si>
  <si>
    <t>DON GABRIEL SPA (08-07-2022)</t>
  </si>
  <si>
    <t>DON GABRIEL SPA  (08-07-2022)</t>
  </si>
  <si>
    <t>VNT (VENCIMIENTO NOTA ESTRUCTURADA JPJ)</t>
  </si>
  <si>
    <t>Nota estructurada</t>
  </si>
  <si>
    <t>VNT ( KP GANA/CHICUREO)</t>
  </si>
  <si>
    <t>TESORERIA VNT</t>
  </si>
  <si>
    <t>VNT (5TO CAPITAL CALL-FIP ORIGEN)</t>
  </si>
  <si>
    <t>VNT (TESORERIA VNT 20-03-25)</t>
  </si>
  <si>
    <t>14-11-2023</t>
  </si>
  <si>
    <t>VNT POSICION SAN LUIS BIS-C 18-04-2023</t>
  </si>
  <si>
    <t>VNT POSICION PATRONATO TER-B 18-04-2023</t>
  </si>
  <si>
    <t>VNT POSICION SAN FRANCISCO TER 18-04-2023</t>
  </si>
  <si>
    <t>FINANCIAMIENTO SIENA 24-08-2023</t>
  </si>
  <si>
    <t>A.CAPITAL VNT FACTORING 12-12-2022</t>
  </si>
  <si>
    <t>4TO FINANCIAMIENTO INMOBILIARIO ORIGEN SPA 19-07-2022</t>
  </si>
  <si>
    <t>DON GABRIEL (14-11-2022)</t>
  </si>
  <si>
    <t>VNT (OP VENDOR TECNOLOGIA E INFORMATICA INTERSIDE SPA)</t>
  </si>
  <si>
    <t>POSICION MAITENCILLO13-03-2023</t>
  </si>
  <si>
    <t>11-12-2023</t>
  </si>
  <si>
    <t>AP VENDOR IMPORTACIONES Y SERVICIOS ADVANCE COMPUTING TECNOLOGIES A.A.</t>
  </si>
  <si>
    <t>VNT (SUBYACENTE EL TRANQUE 24-08-20)</t>
  </si>
  <si>
    <t>DON GABRIEL (18-08-2022)</t>
  </si>
  <si>
    <t>CESION DE CREDITO REALTUM (VIENA) 13-04-2021</t>
  </si>
  <si>
    <t>14-11-2022</t>
  </si>
  <si>
    <t>18-08-2022</t>
  </si>
  <si>
    <t>21VO FINANCIAMIENTO PATRONATO 23-08-2023</t>
  </si>
  <si>
    <t>NOTA VENDOR CONJUNTA/INGRAM MICRO CHILE S.A. 14-04-2023</t>
  </si>
  <si>
    <t>14 VO FINANCIAMIENTO PATRONATO 13-02-2023</t>
  </si>
  <si>
    <t>29-08-2023</t>
  </si>
  <si>
    <t>TESORERIA VNT 31-03-25</t>
  </si>
  <si>
    <t>VNT (TESORERIA VNT 31-03-25)</t>
  </si>
  <si>
    <t>VNT (TESORERIA VNT 30-04-25)</t>
  </si>
  <si>
    <t>TESORERIA VNT 28-03-25</t>
  </si>
  <si>
    <t>VNT (TESORERIA VNT 27-03-25)</t>
  </si>
  <si>
    <t>VNT (TESORERIA VNT 01-04-25)</t>
  </si>
  <si>
    <t>VNT (TESORERIA VNT 04-04-25)</t>
  </si>
  <si>
    <t>TESORERIA VNT 01-04-25</t>
  </si>
  <si>
    <t>VNT (TESORERIA VNT 02-05-25)</t>
  </si>
  <si>
    <t>VNT (GARANTIA EUROAMERICA 02-05-25)</t>
  </si>
  <si>
    <t>OPERACION MIAMI 07-05-25</t>
  </si>
  <si>
    <t>23-09-2022</t>
  </si>
  <si>
    <t>VNT POSICION MIXTA-B 03-04-2023</t>
  </si>
  <si>
    <t>VNT (SAN FRANCISCO (GARANTIA))</t>
  </si>
  <si>
    <t>DIF KP URBANO 16-11-2020</t>
  </si>
  <si>
    <t>18VO FINANCIAMIENTO CONTRUST</t>
  </si>
  <si>
    <t>VNT (GARANTIA MBI 05-05-25)</t>
  </si>
  <si>
    <t>DON GABRIEL (08-07-22)</t>
  </si>
  <si>
    <t>VNT (TESORERIA VNT 09-06-25)</t>
  </si>
  <si>
    <t>SAN FRANCISCO DP</t>
  </si>
  <si>
    <t>VNT POSICION BODEGA II 03-04-2023</t>
  </si>
  <si>
    <t>POSICION VNT NOTA MIXTA 31-03-2023</t>
  </si>
  <si>
    <t>VENCIMIENTO NOTA EUROCORP II CAPITAL E INTERESES 04-07-2023</t>
  </si>
  <si>
    <t>VNT(POSICION PATRONATO 02-12-2022)</t>
  </si>
  <si>
    <t>VNT (TESORERIA VNT 11-04-25)</t>
  </si>
  <si>
    <t>21-02-23</t>
  </si>
  <si>
    <t>08-07-22</t>
  </si>
  <si>
    <t>19VO FINANCIAMIENTO CONSTRUST 30-03-2023</t>
  </si>
  <si>
    <t>POSICION VNT EL TRANQUE BIS 3000UF 28-10-2022</t>
  </si>
  <si>
    <t>CANON III</t>
  </si>
  <si>
    <t>15-06-2022</t>
  </si>
  <si>
    <t>09-11-23</t>
  </si>
  <si>
    <t>6TO CAPITAL CALL-FIP ORIGEN 3400UF</t>
  </si>
  <si>
    <t>DON GABRIEL (09-11-23)</t>
  </si>
  <si>
    <t>VIVACETA II</t>
  </si>
  <si>
    <t>CUPON SAN FRANCISCO II 29-03-2020</t>
  </si>
  <si>
    <t>DON GABRIEL SPA (DON GABRIEL)</t>
  </si>
  <si>
    <t>KP PADRE WERNER</t>
  </si>
  <si>
    <t>VNT (TESORERIA VNT 12-05-25)</t>
  </si>
  <si>
    <t>TESORERIA VNT 16-04-2025</t>
  </si>
  <si>
    <t>TESORERIA FONDO - CLP 06-12-2022</t>
  </si>
  <si>
    <t>VNT (TESORERIA VNT 17-04-2025)</t>
  </si>
  <si>
    <t>14-03-2023</t>
  </si>
  <si>
    <t>VNT (TESORERIA FONDO - CLP 06-12-2022)</t>
  </si>
  <si>
    <t>FINANCIAMIENTO INMOBILIARIO ORIGEN SPA 00-07-2021</t>
  </si>
  <si>
    <t>VNT (TESORERIA VNT 15-05-25)</t>
  </si>
  <si>
    <t>20-08-2024</t>
  </si>
  <si>
    <t>DON GABRIEL SPA (14-04-2024)</t>
  </si>
  <si>
    <t>VNT (GARANTIA HSBC 02-08-2022)</t>
  </si>
  <si>
    <t>GARANTIA HSBC 02-08-2022</t>
  </si>
  <si>
    <t>VNT (GRANTIA HSBC)</t>
  </si>
  <si>
    <t>VNT POSICION BODEGA II SERIE A 06-04-2023</t>
  </si>
  <si>
    <t>CAPITAL BODEGA I</t>
  </si>
  <si>
    <t>POSICION VNT SAN JOAQUIN III-C 09-05-23</t>
  </si>
  <si>
    <t>3ER FINANCIAMIENTO-INMOBILIARIO ORIGEN SPA 28-04-2022</t>
  </si>
  <si>
    <t>13VO FINANCIAMIENTO 31-03-2023</t>
  </si>
  <si>
    <t>21-02-2022</t>
  </si>
  <si>
    <t>VNT(3ER FINANCIAMIENTO - INMOBILIARIA ORIGEN SPA 28-04-2022)</t>
  </si>
  <si>
    <t>14-03-224</t>
  </si>
  <si>
    <t xml:space="preserve">2DO FINANCIAMIENTO INMOBILIARIO ORIGEN)                   </t>
  </si>
  <si>
    <t>GARANTIAS HSBC 02-08-2022</t>
  </si>
  <si>
    <t>TESORERIA VNT 19-03-25</t>
  </si>
  <si>
    <t>PROMESA CV PADRE WERNER 8.028,30 UF REG MOV 13-08</t>
  </si>
  <si>
    <t>14-03-2025</t>
  </si>
  <si>
    <t>VNT (TESORERIA VNT31-07-25 )</t>
  </si>
  <si>
    <t>VNT ( TESORERIA VNT 31-07-25 )</t>
  </si>
  <si>
    <t>AGRO ENTRE RIOS SPA    ;1593    ;77819950-5</t>
  </si>
  <si>
    <t>AGRO ENTRE RIOS SPA    ;1591    ;77819950-5</t>
  </si>
  <si>
    <t>DON GABRIEL (07-07-22)</t>
  </si>
  <si>
    <t>VNT (SANFRANCISCO (GARANTIA))</t>
  </si>
  <si>
    <t>VNT (GARANTIA MBI 05-0-5-25)</t>
  </si>
  <si>
    <t>VNT (TESORERIA VNT 31-07-25)</t>
  </si>
  <si>
    <t>VNT (TESORERIA VNT 31-07-25</t>
  </si>
  <si>
    <t>VNT (TESORERIA VNT 16-04-2025)</t>
  </si>
  <si>
    <t>VNT (TESORERIA VNT 11-02-25 )</t>
  </si>
  <si>
    <t>VNT (GARANTIAS HSBC 02-08-2022)</t>
  </si>
  <si>
    <t>VNT (GARANTIAS HSBC )</t>
  </si>
  <si>
    <t>VNT ( APORTE FI MULTIFAMILY INMOBILIARIO I 21-04-2023)</t>
  </si>
  <si>
    <t>VNT (OPERACIÓN VENDOR SII 10-05-2023)</t>
  </si>
  <si>
    <t>VNT (6TO APORTE ADICIONAL ORIGEN 31-03-2023)</t>
  </si>
  <si>
    <t>VNT (NOTA GASA 8FINANC9)</t>
  </si>
  <si>
    <t>DON GABRIEL(20-08-2024)</t>
  </si>
  <si>
    <t>DON GABRIEL (28-08-2024)</t>
  </si>
  <si>
    <t>VNT (3ER FINANCIAMIENTO-INMOBILIARIA ORIGEN SPA 28-04-2022)</t>
  </si>
  <si>
    <t>VNT (NOTA LINARES)</t>
  </si>
  <si>
    <t>INVERSIONES CARAHUE 6.800 UF 11-05-2021</t>
  </si>
  <si>
    <t>OPERACION 6 URBES 10.000 UF 22-03-2021</t>
  </si>
  <si>
    <t>PATRONATO</t>
  </si>
  <si>
    <t>OPERACION VENDOR SII 10-05-2023</t>
  </si>
  <si>
    <t>19VO FINANCIAMIENTO PATRONATO 11-05-2023</t>
  </si>
  <si>
    <t>VNT OPERACION VENDOR SII 10-05-2023</t>
  </si>
  <si>
    <t>POSICION VNT EN FIP PENINSULA 24-10-2024</t>
  </si>
  <si>
    <t>VNT POSICION SAN LUIS VB 12-07-2023</t>
  </si>
  <si>
    <t>VNT (POSICION SAN LUIS V-B 12-07-23)</t>
  </si>
  <si>
    <t>VNT (CV CUOTAS 7256 FRANKLIN 09-06-2022)</t>
  </si>
  <si>
    <t>7MO CAPITAL CALL - FIP ORIGEN</t>
  </si>
  <si>
    <t>PAGARÉ AA</t>
  </si>
  <si>
    <t>DON GABRIEL (11-12-2023)</t>
  </si>
  <si>
    <t>PERSHING PERU</t>
  </si>
  <si>
    <t>VNT (AP VENDOR IMPORTACIONES Y SERVICIOS ADVANCE COMPUTING TECNOLOGIES A.A.)</t>
  </si>
  <si>
    <t>VNT (CAPITAL HMAN 156-12-2023)</t>
  </si>
  <si>
    <t>ACP PRINDE CHILE SPA    ; 574    ; 76732685-8</t>
  </si>
  <si>
    <t>COMERCIALIZADORA DE ALIMENTOS LOS CISNES SPA    ; 820288     ; 79690060-1</t>
  </si>
  <si>
    <t>Maquibel Spa    ; 158     ; 77374085-2</t>
  </si>
  <si>
    <t>Maquibel Spa    ; 159     ; 77374085-2</t>
  </si>
  <si>
    <t>PARAISO DEL SUR  S.A.    ; 3245588    ; 76733230-0</t>
  </si>
  <si>
    <t>MAESTRANZA TORMAQ SPA    ; 844    ; 76841052-6</t>
  </si>
  <si>
    <t>INGENIERIA Y CONSTRUCCION RICARDO RODRIGUEZ Y CIA. LTDA    ; 1504498    ; 89912300-K</t>
  </si>
  <si>
    <t>INGENIERIA Y CONSTRUCCION RICARDO RODRIGUEZ Y CIA. LTDA    ; 1504571    ; 89912300-K</t>
  </si>
  <si>
    <t>INGENIERIA Y CONSTRUCCION RICARDO RODRIGUEZ Y CIA. LTDA    ; 1504558    ; 89912300-K</t>
  </si>
  <si>
    <t>INGENIERIA Y CONSTRUCCION RICARDO RODRIGUEZ Y CIA. LTDA    ; 1504563    ; 89912300-K</t>
  </si>
  <si>
    <t>INVERSIONES LAS DELICIAS CORPORATIVAS Y CIA LTDA    ; 6308    ; 76080062-7</t>
  </si>
  <si>
    <t>FS ROMA SPA    ; 613    ; 77257466-5</t>
  </si>
  <si>
    <t>TESORERIA VNT – FINANCIAMIENTO SIMULTANEAS</t>
  </si>
  <si>
    <t>VNT (GARANTIA HSBC)</t>
  </si>
  <si>
    <t>TESORERIA VNT 22-09-2025</t>
  </si>
  <si>
    <t>VNT (TESORERIA VNT 30-01-25 )</t>
  </si>
  <si>
    <t>VNT (TESORERIA VNT )</t>
  </si>
  <si>
    <t>VNT (2DA OPERACIÓN SANTA JULIA 17-10-19)</t>
  </si>
  <si>
    <t>VNT (5TO CAPITAL-FIP ORIGEN)</t>
  </si>
  <si>
    <t>08-01-2026</t>
  </si>
  <si>
    <t>DON GABRIEL SPA (21-11-24)</t>
  </si>
  <si>
    <t>UTILITY TRAILER CHILE IMPORTADORA SPA    ; 233567    ; 76790380-4</t>
  </si>
  <si>
    <t>SFC Comercial Chile S.A.    ; 1158    ; 76154796-8</t>
  </si>
  <si>
    <t>COMERCIAL MAQUINET LTDA    ; 100133    ; 77534640-K</t>
  </si>
  <si>
    <t>COMERCIAL EL ESTERO SPA    ; 2457    ; 77038688-8</t>
  </si>
  <si>
    <t xml:space="preserve">DON GABRIEL SPA </t>
  </si>
  <si>
    <t>DON GABRIEL SPA (14-11-2022)</t>
  </si>
  <si>
    <t>DON GABRIEL SPA (14-03-2024)</t>
  </si>
  <si>
    <t>LABORATORIO CLINI SPA    ; 3464    ; 77427817-6</t>
  </si>
  <si>
    <t>LABORATORIO CLINI SPA    ; 3465    ; 77427817-6</t>
  </si>
  <si>
    <t>JBS CHILE LTDA    ; 16797    ; 76134285-1</t>
  </si>
  <si>
    <t>MJOTA SPA        ;   206    ; 77084976-4</t>
  </si>
  <si>
    <t>MJOTA SPA        ;   207    ; 77084976-4</t>
  </si>
  <si>
    <t>PEMAR INGENIERIA SPA    ; 868    ; 76728602-3</t>
  </si>
  <si>
    <t>MAQUINARIAS TRAFKIN SPA    ; 282     ; 77141728-0</t>
  </si>
  <si>
    <t>EMPRESAS DPC S.A.    ; 26626    ; 76208717-0</t>
  </si>
  <si>
    <t>PM CONSTRUCCIONES SPA    ; 201    ; 77487046-6</t>
  </si>
  <si>
    <t>SOCIEDAD COMERCIAL DIDO FOODS SPA    ; 18721    ; 76886533-7</t>
  </si>
  <si>
    <t>INV.Y COMERCIALIZADORA LAPCARE CHILE SPA    ; 5678    ; 76440113-1</t>
  </si>
  <si>
    <t>COMERCIAL MAQUINET LTDA    ; 99820    ; 77534640-k</t>
  </si>
  <si>
    <t>COMERCIAL MAQUINET LTDA    ; 98021    ; 77534640-k</t>
  </si>
  <si>
    <t>SERVEN CHILE SPA    ; 24530    ; 76692268-6</t>
  </si>
  <si>
    <t>SERVEN CHILE SPA    ; 24531    ; 76692268-6</t>
  </si>
  <si>
    <t>SERVEN CHILE SPA    ; 24532    ; 76692268-6</t>
  </si>
  <si>
    <t>SERVEN CHILE SPA    ; 24566    ; 76692268-6</t>
  </si>
  <si>
    <t>SERVEN CHILE SPA    ; 24567    ; 76692268-6</t>
  </si>
  <si>
    <t>SERVEN CHILE SPA    ; 24568    ; 76692268-6</t>
  </si>
  <si>
    <t>SERVEN CHILE SPA    ; 24569    ; 76692268-6</t>
  </si>
  <si>
    <t>SERVEN CHILE SPA    ; 24570    ; 76692268-6</t>
  </si>
  <si>
    <t>SERVEN CHILE SPA    ; 24533    ; 76692268-6</t>
  </si>
  <si>
    <t>SERVEN CHILE SPA    ; 24575    ; 76692268-6</t>
  </si>
  <si>
    <t>SERVEN CHILE SPA    ; 24576    ; 76692268-6</t>
  </si>
  <si>
    <t>SERVEN CHILE SPA    ; 24577    ; 76692268-6</t>
  </si>
  <si>
    <t>SERVEN CHILE SPA    ; 24578    ; 76692268-6</t>
  </si>
  <si>
    <t>UTILITY TRAILER CHILE IMPORTADORA SPA    ; 3533567    ; 76790380-4</t>
  </si>
  <si>
    <t>UTILITY TRAILER CHILE IMPORTADORA SPA    ; 3433567    ; 76790380-4</t>
  </si>
  <si>
    <t>UTILITY TRAILER CHILE IMPORTADORA SPA    ; 3333956    ; 76790380-4</t>
  </si>
  <si>
    <t>UTILITY TRAILER CHILE IMPORTADORA SPA    ; 3333567    ; 76790380-4</t>
  </si>
  <si>
    <t>UTILITY TRAILER CHILE IMPORTADORA SPA    ; 3233956    ; 76790380-4</t>
  </si>
  <si>
    <t>UTILITY TRAILER CHILE IMPORTADORA SPA    ; 3233567    ; 76790380-4</t>
  </si>
  <si>
    <t>UTILITY TRAILER CHILE IMPORTADORA SPA    ; 3731915    ; 76790380-4</t>
  </si>
  <si>
    <t>UTILITY TRAILER CHILE IMPORTADORA SPA    ; 3631915    ; 76790380-4</t>
  </si>
  <si>
    <t>UTILITY TRAILER CHILE IMPORTADORA SPA    ; 3531915    ; 76790380-4</t>
  </si>
  <si>
    <t>UTILITY TRAILER CHILE IMPORTADORA SPA    ; 3431915    ; 76790380-4</t>
  </si>
  <si>
    <t>UTILITY TRAILER CHILE IMPORTADORA SPA    ; 3331915    ; 76790380-4</t>
  </si>
  <si>
    <t>DON GABRIEL SPA (21-02-2022)</t>
  </si>
  <si>
    <t>DON GABRIEL SPA (23-09-2022)</t>
  </si>
  <si>
    <t>HBC LATINA SPA    ; 186001    ; 76942020-7</t>
  </si>
  <si>
    <t>FS Roma SpA    ; 683    ; 77257466-5</t>
  </si>
  <si>
    <t>FS Roma SpA    ; 684    ; 77257466-5</t>
  </si>
  <si>
    <t>TEC SpA    ; 2094    ; 76772367-9</t>
  </si>
  <si>
    <t>TEC SpA    ; 2091    ; 76772367-9</t>
  </si>
  <si>
    <t>IMPORTADORA Y COMERCIALIZADORA PARTNER S.A.    ; 10051    ; 77101893-9</t>
  </si>
  <si>
    <t>HERIBERTO ANTONIO ARAOS OVALLE INGENIERIA LTDA    ; 368     ; 52003229-0</t>
  </si>
  <si>
    <t>GEOLOGISTICA SPA    ;  754    ;  76484151-4</t>
  </si>
  <si>
    <t>COMERCIALIZADORA DOBLE S LIMITADA    ; 1505    ; 77753753-9</t>
  </si>
  <si>
    <t>COINVA INDUSTRIAL SPA    ; 269    ; 76721280-1</t>
  </si>
  <si>
    <t>INVERSIONES RED FRESH SPA    ; 42324    ; 76515997-0</t>
  </si>
  <si>
    <t>FS Roma SpA    ; 637    ; 77257466-5</t>
  </si>
  <si>
    <t>HIJOS PLANELLA JUEGOS INFANITLES SPA    ; 64    ; 77818438-9</t>
  </si>
  <si>
    <t>COMERCIALIZADORA MABEL LOPEZ CASTRO E I R L    ; 961    ; 77137303-8</t>
  </si>
  <si>
    <t>SMC SpA    ; 264    ; 77772452-5</t>
  </si>
  <si>
    <t>SOCIEDAD COMERCIALIZADORA PSICOMUNDO LTDA    ; 427     ; 77982270-2</t>
  </si>
  <si>
    <t>DANIEL VIDAL PAISAJISMO E.I.R.L.    ; 384     ; 77121618-8</t>
  </si>
  <si>
    <t>BIOGROW LATAM SPA.    ; 1196    ; 76377049-4</t>
  </si>
  <si>
    <t>COFFE BREAK SR LIMITADA    ; 144     ; 76494088-1</t>
  </si>
  <si>
    <t>FULL ABASTECIMIENTO SPA    ; 4106    ; 77135387-8</t>
  </si>
  <si>
    <t>FULL ABASTECIMIENTO SPA    ; 4105    ; 77135387-8</t>
  </si>
  <si>
    <t>Sociedad Imp Lightgreen Energy Ltda    ; 824    ; 76726696-0</t>
  </si>
  <si>
    <t>Sociedad Imp Lightgreen Energy Ltda    ; 825    ; 76726696-0</t>
  </si>
  <si>
    <t>EFQ SPA    ; 69    ; 77858613-4</t>
  </si>
  <si>
    <t>MJOTA SPA    ; 209     ; 77084976-4</t>
  </si>
  <si>
    <t>COMERCIALIZADORA LA FAVORITA LTDA.    ; 126733    ; 76789935-1</t>
  </si>
  <si>
    <t>COMERCIALIZADORA LA FAVORITA LTDA.    ; 126722    ; 76789935-1</t>
  </si>
  <si>
    <t>DON GABRIEL SPA (21-02-2023)</t>
  </si>
  <si>
    <t>LJ AUTOMOTRIZ LIMITADA    ; 187001    ; 76092123-8</t>
  </si>
  <si>
    <t>FVL SPA    ; 185001    ; 77295911-7</t>
  </si>
  <si>
    <t>ATSA CHILE S A    ; 184001    ; 96945000-3</t>
  </si>
  <si>
    <t>Transportes Rodrigo Antonio Fuenzalida Vergara E.I.R.L.    ; 634    ; 77698818-9</t>
  </si>
  <si>
    <t>CONSTRUCCION Y URBANIZACION SPA    ; 412    ; 76995137-7</t>
  </si>
  <si>
    <t>PRODUCCION DE EVENTOS WILHEM IGNACIO PACHECO PIRCE EIRL    ; 282    ; 76824554-1</t>
  </si>
  <si>
    <t>GEOPROSPEC S.A.    ; 9794    ; 81736600-7</t>
  </si>
  <si>
    <t>VNT (TESORERIA VNT 11-04-25))</t>
  </si>
  <si>
    <t>INGENIERIA Y CONSTRUCCIONES S Y K SPA    ; 90    ; 77678304-8</t>
  </si>
  <si>
    <t>SERVEN CHILE SPA    ; 24427    ; 76692268-6</t>
  </si>
  <si>
    <t>FIRE GUARDIAN SPA    ; 14081    ; 76413511-3</t>
  </si>
  <si>
    <t>FIRE GUARDIAN SPA    ; 4081    ; 76413511-3</t>
  </si>
  <si>
    <t>SERVEN CHILE SPA    ; 24407    ; 76692268-6</t>
  </si>
  <si>
    <t>SERVEN CHILE SPA    ; 24419    ; 76692268-6</t>
  </si>
  <si>
    <t>SERVEN CHILE SPA    ; 24420    ; 76692268-6</t>
  </si>
  <si>
    <t>SERVEN CHILE SPA    ; 24418    ; 76692268-6</t>
  </si>
  <si>
    <t>SERVEN CHILE SPA    ; 24429    ; 76692268-6</t>
  </si>
  <si>
    <t>SERVEN CHILE SPA    ; 24401    ; 76692268-6</t>
  </si>
  <si>
    <t>SERVEN CHILE SPA    ; 24428    ; 76692268-6</t>
  </si>
  <si>
    <t>SERVEN CHILE SPA    ; 24426    ; 76692268-6</t>
  </si>
  <si>
    <t>SERVEN CHILE SPA    ; 24425    ; 76692268-6</t>
  </si>
  <si>
    <t>SERVEN CHILE SPA    ; 24424    ; 76692268-6</t>
  </si>
  <si>
    <t>SERVEN CHILE SPA    ; 24423    ; 76692268-6</t>
  </si>
  <si>
    <t>SERVEN CHILE SPA    ; 24422    ; 76692268-6</t>
  </si>
  <si>
    <t>SERVEN CHILE SPA    ; 24421    ; 76692268-6</t>
  </si>
  <si>
    <t>SERVEN CHILE SPA    ; 24417    ; 76692268-6</t>
  </si>
  <si>
    <t>SERVEN CHILE SPA    ; 24416    ; 76692268-6</t>
  </si>
  <si>
    <t>SERVEN CHILE SPA    ; 24415    ; 76692268-6</t>
  </si>
  <si>
    <t>SERVEN CHILE SPA    ; 24414    ; 76692268-6</t>
  </si>
  <si>
    <t>SERVEN CHILE SPA    ; 24413    ; 76692268-6</t>
  </si>
  <si>
    <t>SERVEN CHILE SPA    ; 24412    ; 76692268-6</t>
  </si>
  <si>
    <t>SERVEN CHILE SPA    ; 24411    ; 76692268-6</t>
  </si>
  <si>
    <t>SERVEN CHILE SPA    ; 24410    ; 76692268-6</t>
  </si>
  <si>
    <t>SERVEN CHILE SPA    ; 24409    ; 76692268-6</t>
  </si>
  <si>
    <t>SERVEN CHILE SPA    ; 24408    ; 76692268-6</t>
  </si>
  <si>
    <t>SERVEN CHILE SPA    ; 24406    ; 76692268-6</t>
  </si>
  <si>
    <t>GRAFICMETAL SPA    ; 553    ; 77104184-1</t>
  </si>
  <si>
    <t>COMERCIALIZADORA MABEL LOPEZ CASTRO E I R L    ; 989    ; 77137303-8</t>
  </si>
  <si>
    <t>BANQUETES MASITAS Y MAS SPA    ; 113    ; 77996189-3</t>
  </si>
  <si>
    <t>MAESTRANZA TORMAQ SPA    ; 867    ; 76841052-6</t>
  </si>
  <si>
    <t>WERT MASTER SPA    ; 490    ; 77077812-3</t>
  </si>
  <si>
    <t>Luis Alberto Soto Peluk    ; 10569    ; 16006357-2</t>
  </si>
  <si>
    <t>Servicios y Seguridad Limitada    ; 13219    ; 76055741-2</t>
  </si>
  <si>
    <t>INGENIERIA Y CONSTRUCCION RICARDO RODRIGUEZ Y CIA. LTDA    ; 1508510    ; 89912300-K</t>
  </si>
  <si>
    <t>INGENIERIA Y CONSTRUCCION RICARDO RODRIGUEZ Y CIA. LTDA    ; 1508502    ; 89912300-K</t>
  </si>
  <si>
    <t>COMERCIAL VYP LIMITADA    ; 12707    ; 76406548-4</t>
  </si>
  <si>
    <t>SUSY LISSETTE ESCARATE SILVA    ; 932    ; 13488097-K</t>
  </si>
  <si>
    <t>SUSY LISSETTE ESCARATE SILVA    ; 930    ; 13488097-K</t>
  </si>
  <si>
    <t>SUSY LISSETTE ESCARATE SILVA    ; 926    ; 13488097-K</t>
  </si>
  <si>
    <t>SUSY LISSETTE ESCARATE SILVA    ; 923    ; 13488097-K</t>
  </si>
  <si>
    <t>SUSY LISSETTE ESCARATE SILVA    ; 922    ; 13488097-K</t>
  </si>
  <si>
    <t>SUSY LISSETTE ESCARATE SILVA    ; 921    ; 13488097-K</t>
  </si>
  <si>
    <t>SUSY LISSETTE ESCARATE SILVA    ; 919    ; 13488097-K</t>
  </si>
  <si>
    <t>SUSY LISSETTE ESCARATE SILVA    ; 916    ; 13488097-K</t>
  </si>
  <si>
    <t>Inversiones DPS SpA    ; 39    ; 78081405-5</t>
  </si>
  <si>
    <t>Inversiones DPS SpA    ; 26    ; 78081405-5</t>
  </si>
  <si>
    <t>E &amp; M SPA    ; 472    ; 77273822-6</t>
  </si>
  <si>
    <t>E &amp; M SPA    ; 471    ; 77273822-6</t>
  </si>
  <si>
    <t>VNT (TESORERIA VNT 16-10-25)</t>
  </si>
  <si>
    <t>ENVAPLAST CHILE  SPA    ; 182001    ; 76830296-0</t>
  </si>
  <si>
    <t>FOOD FEED INGREDIENTS    ; 181001    ; 76920742-2</t>
  </si>
  <si>
    <t>POLIGLOTA EMPRESAS SPA    ; 3505    ; 76806666-3</t>
  </si>
  <si>
    <t>CONSTRUCTORA SEVILLA Y CIA LIMITADA    ; 1293    ; 76694856-1</t>
  </si>
  <si>
    <t>CONSTRUCTORA SEVILLA Y CIA LIMITADA    ; 1294    ; 76694856-1</t>
  </si>
  <si>
    <t>CONSTRUCTORA SEVILLA Y CIA LIMITADA    ; 1295    ; 76694856-1</t>
  </si>
  <si>
    <t>TECNICA COMERCIAL SANTIAGO VALVULAS SA    ; 27193    ; 79839490-8</t>
  </si>
  <si>
    <t>SMC SpA    ; 1264    ; 77772452-5</t>
  </si>
  <si>
    <t>SMC SpA    ; 263    ; 77772452-5</t>
  </si>
  <si>
    <t>TOQUIHUE INGENIERIA Y CONSTRUCCIÓN SPA    ; 52    ; 77947067-9</t>
  </si>
  <si>
    <t>FS Roma SpA    ; 666    ; 77257466-5</t>
  </si>
  <si>
    <t>JA PUBLICIDAD SpA    ; 487    ; 77788902-8</t>
  </si>
  <si>
    <t>BSA CHILE SPA    ; 415    ; 76975482-2</t>
  </si>
  <si>
    <t>TRANSPORTES DE CARGA Y PASAJEROS LIBERTAD SPA    ; 706    ; 77798023-8</t>
  </si>
  <si>
    <t>TRANSPORTES DE CARGA Y PASAJEROS LIBERTAD SPA    ; 705    ; 77798023-8</t>
  </si>
  <si>
    <t>TRANSPORTES DE CARGA Y PASAJEROS LIBERTAD SPA    ; 704    ; 77798023-8</t>
  </si>
  <si>
    <t>TRANSPORTES DE CARGA Y PASAJEROS LIBERTAD SPA    ; 703    ; 77798023-8</t>
  </si>
  <si>
    <t>TRANSPORTES DE CARGA Y PASAJEROS LIBERTAD SPA    ; 702    ; 77798023-8</t>
  </si>
  <si>
    <t>TRANSPORTES DE CARGA Y PASAJEROS LIBERTAD SPA    ; 708    ; 77798023-8</t>
  </si>
  <si>
    <t>TRANSPORTES DE CARGA Y PASAJEROS LIBERTAD SPA    ; 711    ; 77798023-8</t>
  </si>
  <si>
    <t>INGENIERIA Y CONSTRUCCION RICARDO RODRIGUEZ Y CIA. LTDA    ; 1506868    ; 89912300-K</t>
  </si>
  <si>
    <t>INGENIERIA Y CONSTRUCCION RICARDO RODRIGUEZ Y CIA. LTDA    ; 1507556    ; 89912300-K</t>
  </si>
  <si>
    <t>INGENIERIA Y CONSTRUCCION RICARDO RODRIGUEZ Y CIA. LTDA    ; 1507558    ; 89912300-K</t>
  </si>
  <si>
    <t>INGENIERIA Y CONSTRUCCION RICARDO RODRIGUEZ Y CIA. LTDA    ; 1507596    ; 89912300-K</t>
  </si>
  <si>
    <t>INGENIERIA Y CONSTRUCCION RICARDO RODRIGUEZ Y CIA. LTDA    ; 1507809    ; 89912300-K</t>
  </si>
  <si>
    <t>INGENIERIA Y CONSTRUCCION RICARDO RODRIGUEZ Y CIA. LTDA    ; 1507810    ; 89912300-K</t>
  </si>
  <si>
    <t>INGENIERIA Y CONSTRUCCION RICARDO RODRIGUEZ Y CIA. LTDA    ; 1507815    ; 89912300-K</t>
  </si>
  <si>
    <t>INGENIERIA Y CONSTRUCCION RICARDO RODRIGUEZ Y CIA. LTDA    ; 1507829    ; 89912300-K</t>
  </si>
  <si>
    <t>INGENIERIA Y CONSTRUCCION RICARDO RODRIGUEZ Y CIA. LTDA    ; 1507836    ; 89912300-K</t>
  </si>
  <si>
    <t>INGENIERIA Y CONSTRUCCION RICARDO RODRIGUEZ Y CIA. LTDA    ; 1507840    ; 89912300-K</t>
  </si>
  <si>
    <t>INGENIERIA Y CONSTRUCCION RICARDO RODRIGUEZ Y CIA. LTDA    ; 1507842    ; 89912300-K</t>
  </si>
  <si>
    <t>INGENIERIA Y CONSTRUCCION RICARDO RODRIGUEZ Y CIA. LTDA    ; 1507845    ; 89912300-K</t>
  </si>
  <si>
    <t>INGENIERIA Y CONSTRUCCION RICARDO RODRIGUEZ Y CIA. LTDA    ; 1507846    ; 89912300-K</t>
  </si>
  <si>
    <t>INGENIERIA Y CONSTRUCCION RICARDO RODRIGUEZ Y CIA. LTDA    ; 1507847    ; 89912300-K</t>
  </si>
  <si>
    <t>INGENIERIA Y CONSTRUCCION RICARDO RODRIGUEZ Y CIA. LTDA    ; 1507848    ; 89912300-K</t>
  </si>
  <si>
    <t>INGENIERIA Y CONSTRUCCION RICARDO RODRIGUEZ Y CIA. LTDA    ; 1507849    ; 89912300-K</t>
  </si>
  <si>
    <t>INGENIERIA Y CONSTRUCCION RICARDO RODRIGUEZ Y CIA. LTDA    ; 1507851    ; 89912300-K</t>
  </si>
  <si>
    <t>INGENIERIA Y CONSTRUCCION RICARDO RODRIGUEZ Y CIA. LTDA    ; 1507853    ; 89912300-K</t>
  </si>
  <si>
    <t>INGENIERIA Y CONSTRUCCION RICARDO RODRIGUEZ Y CIA. LTDA    ; 1507872    ; 89912300-K</t>
  </si>
  <si>
    <t>INGENIERIA Y CONSTRUCCION RICARDO RODRIGUEZ Y CIA. LTDA    ; 1507881    ; 89912300-K</t>
  </si>
  <si>
    <t>INGENIERIA Y CONSTRUCCION RICARDO RODRIGUEZ Y CIA. LTDA    ; 1507889    ; 89912300-K</t>
  </si>
  <si>
    <t>INGENIERIA Y CONSTRUCCION RICARDO RODRIGUEZ Y CIA. LTDA    ; 1507900    ; 89912300-K</t>
  </si>
  <si>
    <t>INGENIERIA Y CONSTRUCCION RICARDO RODRIGUEZ Y CIA. LTDA    ; 1507916    ; 89912300-K</t>
  </si>
  <si>
    <t>INGENIERIA Y CONSTRUCCION RICARDO RODRIGUEZ Y CIA. LTDA    ; 1507919    ; 89912300-K</t>
  </si>
  <si>
    <t>INGENIERIA Y CONSTRUCCION RICARDO RODRIGUEZ Y CIA. LTDA    ; 1507920    ; 89912300-K</t>
  </si>
  <si>
    <t>INGENIERIA Y CONSTRUCCION RICARDO RODRIGUEZ Y CIA. LTDA    ; 1507929    ; 89912300-K</t>
  </si>
  <si>
    <t>INGENIERIA Y CONSTRUCCION RICARDO RODRIGUEZ Y CIA. LTDA    ; 1507940    ; 89912300-K</t>
  </si>
  <si>
    <t>INGENIERIA Y CONSTRUCCION RICARDO RODRIGUEZ Y CIA. LTDA    ; 1507941    ; 89912300-K</t>
  </si>
  <si>
    <t>INGENIERIA Y CONSTRUCCION RICARDO RODRIGUEZ Y CIA. LTDA    ; 1507945    ; 89912300-K</t>
  </si>
  <si>
    <t>INGENIERIA Y CONSTRUCCION RICARDO RODRIGUEZ Y CIA. LTDA    ; 1507953    ; 89912300-K</t>
  </si>
  <si>
    <t>INGENIERIA Y CONSTRUCCION RICARDO RODRIGUEZ Y CIA. LTDA    ; 1507964    ; 89912300-K</t>
  </si>
  <si>
    <t>INGENIERIA Y CONSTRUCCION RICARDO RODRIGUEZ Y CIA. LTDA    ; 1507974    ; 89912300-K</t>
  </si>
  <si>
    <t>INGENIERIA Y CONSTRUCCION RICARDO RODRIGUEZ Y CIA. LTDA    ; 1507986    ; 89912300-K</t>
  </si>
  <si>
    <t>INGENIERIA Y CONSTRUCCION RICARDO RODRIGUEZ Y CIA. LTDA    ; 1507990    ; 89912300-K</t>
  </si>
  <si>
    <t>INGENIERIA Y CONSTRUCCION RICARDO RODRIGUEZ Y CIA. LTDA    ; 1508006    ; 89912300-K</t>
  </si>
  <si>
    <t>INGENIERIA Y CONSTRUCCION RICARDO RODRIGUEZ Y CIA. LTDA    ; 1508010    ; 89912300-K</t>
  </si>
  <si>
    <t>INGENIERIA Y CONSTRUCCION RICARDO RODRIGUEZ Y CIA. LTDA    ; 1508011    ; 89912300-K</t>
  </si>
  <si>
    <t>INGENIERIA Y CONSTRUCCION RICARDO RODRIGUEZ Y CIA. LTDA    ; 1508012    ; 89912300-K</t>
  </si>
  <si>
    <t>INGENIERIA Y CONSTRUCCION RICARDO RODRIGUEZ Y CIA. LTDA    ; 1508022    ; 89912300-K</t>
  </si>
  <si>
    <t>INGENIERIA Y CONSTRUCCION RICARDO RODRIGUEZ Y CIA. LTDA    ; 1508023    ; 89912300-K</t>
  </si>
  <si>
    <t>INGENIERIA Y CONSTRUCCION RICARDO RODRIGUEZ Y CIA. LTDA    ; 1508031    ; 89912300-K</t>
  </si>
  <si>
    <t>INGENIERIA Y CONSTRUCCION RICARDO RODRIGUEZ Y CIA. LTDA    ; 1508036    ; 89912300-K</t>
  </si>
  <si>
    <t>INGENIERIA Y CONSTRUCCION RICARDO RODRIGUEZ Y CIA. LTDA    ; 1508038    ; 89912300-K</t>
  </si>
  <si>
    <t>INGENIERIA Y CONSTRUCCION RICARDO RODRIGUEZ Y CIA. LTDA    ; 1508041    ; 89912300-K</t>
  </si>
  <si>
    <t>INGENIERIA Y CONSTRUCCION RICARDO RODRIGUEZ Y CIA. LTDA    ; 1508042    ; 89912300-K</t>
  </si>
  <si>
    <t>INGENIERIA Y CONSTRUCCION RICARDO RODRIGUEZ Y CIA. LTDA    ; 1508045    ; 89912300-K</t>
  </si>
  <si>
    <t>INGENIERIA Y CONSTRUCCION RICARDO RODRIGUEZ Y CIA. LTDA    ; 1508049    ; 89912300-K</t>
  </si>
  <si>
    <t>INGENIERIA Y CONSTRUCCION RICARDO RODRIGUEZ Y CIA. LTDA    ; 1508064    ; 89912300-K</t>
  </si>
  <si>
    <t>INGENIERIA Y CONSTRUCCION RICARDO RODRIGUEZ Y CIA. LTDA    ; 1508071    ; 89912300-K</t>
  </si>
  <si>
    <t>INGENIERIA Y CONSTRUCCION RICARDO RODRIGUEZ Y CIA. LTDA    ; 1508075    ; 89912300-K</t>
  </si>
  <si>
    <t>INGENIERIA Y CONSTRUCCION RICARDO RODRIGUEZ Y CIA. LTDA    ; 1508083    ; 89912300-K</t>
  </si>
  <si>
    <t>INGENIERIA Y CONSTRUCCION RICARDO RODRIGUEZ Y CIA. LTDA    ; 1508086    ; 89912300-K</t>
  </si>
  <si>
    <t>INGENIERIA Y CONSTRUCCION RICARDO RODRIGUEZ Y CIA. LTDA    ; 1508087    ; 89912300-K</t>
  </si>
  <si>
    <t>INGENIERIA Y CONSTRUCCION RICARDO RODRIGUEZ Y CIA. LTDA    ; 1508097    ; 89912300-K</t>
  </si>
  <si>
    <t>INGENIERIA Y CONSTRUCCION RICARDO RODRIGUEZ Y CIA. LTDA    ; 1508104    ; 89912300-K</t>
  </si>
  <si>
    <t>INGENIERIA Y CONSTRUCCION RICARDO RODRIGUEZ Y CIA. LTDA    ; 1508105    ; 89912300-K</t>
  </si>
  <si>
    <t>INGENIERIA Y CONSTRUCCION RICARDO RODRIGUEZ Y CIA. LTDA    ; 1508106    ; 89912300-K</t>
  </si>
  <si>
    <t>INGENIERIA Y CONSTRUCCION RICARDO RODRIGUEZ Y CIA. LTDA    ; 1508108    ; 89912300-K</t>
  </si>
  <si>
    <t>INGENIERIA Y CONSTRUCCION RICARDO RODRIGUEZ Y CIA. LTDA    ; 1508109    ; 89912300-K</t>
  </si>
  <si>
    <t>INGENIERIA Y CONSTRUCCION RICARDO RODRIGUEZ Y CIA. LTDA    ; 1508136    ; 89912300-K</t>
  </si>
  <si>
    <t>INGENIERIA Y CONSTRUCCION RICARDO RODRIGUEZ Y CIA. LTDA    ; 1508137    ; 89912300-K</t>
  </si>
  <si>
    <t>Climacool servicios a la mineria SPA    ; 954    ; 77855048-2</t>
  </si>
  <si>
    <t>Luis Alberto Soto Peluk    ; 10555    ; 16006357-2</t>
  </si>
  <si>
    <t>NORERO INGENIERÍA Y CONSTRUCCIÓN SPA    ; 110    ; 77772946-2</t>
  </si>
  <si>
    <t>SOLLEM SpA    ; 15783    ; 77012026-8</t>
  </si>
  <si>
    <t>TECNICA COMERCIAL SANTIAGO VALVULAS SA    ; 27192    ; 79839490-8</t>
  </si>
  <si>
    <t>TECNICA COMERCIAL SANTIAGO VALVULAS SA    ; 27191    ; 79839490-8</t>
  </si>
  <si>
    <t>TECNICA COMERCIAL SANTIAGO VALVULAS SA    ; 27190    ; 79839490-8</t>
  </si>
  <si>
    <t>CEBRA SpA    ; 6603    ; 76341354-3</t>
  </si>
  <si>
    <t>RG ELECTRONICA SPA    ; 2568    ; 77269401-6</t>
  </si>
  <si>
    <t>TRANSPORTES ARCOS Y OSORNO LTDA.    ; 677    ; 77489884-0</t>
  </si>
  <si>
    <t>TRANSPORTES ARCOS Y OSORNO LTDA.    ; 675    ; 77489884-0</t>
  </si>
  <si>
    <t>TRANSPORTES ARCOS Y OSORNO LTDA.    ; 689    ; 77489884-0</t>
  </si>
  <si>
    <t>TRANSPORTES ARCOS Y OSORNO LTDA.    ; 685    ; 77489884-0</t>
  </si>
  <si>
    <t>TRANSPORTES ARCOS Y OSORNO LTDA.    ; 686    ; 77489884-0</t>
  </si>
  <si>
    <t>TRANSPORTES ARCOS Y OSORNO LTDA.    ; 688    ; 77489884-0</t>
  </si>
  <si>
    <t>TRANSPORTES ARCOS Y OSORNO LTDA.    ; 678    ; 77489884-0</t>
  </si>
  <si>
    <t>TRANSPORTES ARCOS Y OSORNO LTDA.    ; 679    ; 77489884-0</t>
  </si>
  <si>
    <t>TRANSPORTES ARCOS Y OSORNO LTDA.    ; 673    ; 77489884-0</t>
  </si>
  <si>
    <t>TRANSPORTES ARCOS Y OSORNO LTDA.    ; 676    ; 77489884-0</t>
  </si>
  <si>
    <t>TRANSPORTES ARCOS Y OSORNO LTDA.    ; 668    ; 77489884-0</t>
  </si>
  <si>
    <t>TRANSPORTES ARCOS Y OSORNO LTDA.    ; 669    ; 77489884-0</t>
  </si>
  <si>
    <t>IBARSEG SPA    ; 364    ; 77736665-3</t>
  </si>
  <si>
    <t>RENOVACION URBANA LIMITADA    ; 34    ; 76214892-7</t>
  </si>
  <si>
    <t>INVERSIONES EL LIBANO SPA    ; 1550    ; 76706365-2</t>
  </si>
  <si>
    <t>VNT (TESORERIA VNT 09-10-25)</t>
  </si>
  <si>
    <t>INGELEC PVL SPA    ; 135    ; 76423548-7</t>
  </si>
  <si>
    <t>INGELEC PVL SPA    ; 134    ; 76423548-7</t>
  </si>
  <si>
    <t>RADIADORES NACIONALES SPA    ; 331    ; 77921091-K</t>
  </si>
  <si>
    <t>WORLD TRANSPORT COURIER    ; 10540    ; 76631876-2</t>
  </si>
  <si>
    <t>WORLD TRANSPORT COURIER    ; 28401    ; 76631876-2</t>
  </si>
  <si>
    <t>WORLD TRANSPORT COURIER    ; 28418    ; 76631876-2</t>
  </si>
  <si>
    <t>WORLD TRANSPORT COURIER    ; 28433    ; 76631876-2</t>
  </si>
  <si>
    <t>WORLD TRANSPORT COURIER    ; 28423    ; 76631876-2</t>
  </si>
  <si>
    <t>WORLD TRANSPORT COURIER    ; 28385    ; 76631876-2</t>
  </si>
  <si>
    <t>WORLD TRANSPORT COURIER    ; 28409    ; 76631876-2</t>
  </si>
  <si>
    <t>WORLD TRANSPORT COURIER    ; 28403    ; 76631876-2</t>
  </si>
  <si>
    <t>WORLD TRANSPORT COURIER    ; 10593    ; 76631876-2</t>
  </si>
  <si>
    <t>WORLD TRANSPORT COURIER    ; 28453    ; 76631876-2</t>
  </si>
  <si>
    <t>WORLD TRANSPORT COURIER    ; 28395    ; 76631876-2</t>
  </si>
  <si>
    <t>WORLD TRANSPORT COURIER    ; 28413    ; 76631876-2</t>
  </si>
  <si>
    <t>WORLD TRANSPORT COURIER    ; 10554    ; 76631876-2</t>
  </si>
  <si>
    <t>WORLD TRANSPORT COURIER    ; 28432    ; 76631876-2</t>
  </si>
  <si>
    <t>WORLD TRANSPORT COURIER    ; 28431    ; 76631876-2</t>
  </si>
  <si>
    <t>WORLD TRANSPORT COURIER    ; 10556    ; 76631876-2</t>
  </si>
  <si>
    <t>WORLD TRANSPORT COURIER    ; 28400    ; 76631876-2</t>
  </si>
  <si>
    <t>WORLD TRANSPORT COURIER    ; 28444    ; 76631876-2</t>
  </si>
  <si>
    <t>WORLD TRANSPORT COURIER    ; 28435    ; 76631876-2</t>
  </si>
  <si>
    <t>WORLD TRANSPORT COURIER    ; 28414    ; 76631876-2</t>
  </si>
  <si>
    <t>WORLD TRANSPORT COURIER    ; 10583    ; 76631876-2</t>
  </si>
  <si>
    <t>WORLD TRANSPORT COURIER    ; 28422    ; 76631876-2</t>
  </si>
  <si>
    <t>WORLD TRANSPORT COURIER    ; 28412    ; 76631876-2</t>
  </si>
  <si>
    <t>WORLD TRANSPORT COURIER    ; 28367    ; 76631876-2</t>
  </si>
  <si>
    <t>WORLD TRANSPORT COURIER    ; 28260    ; 76631876-2</t>
  </si>
  <si>
    <t>WORLD TRANSPORT COURIER    ; 28216    ; 76631876-2</t>
  </si>
  <si>
    <t>WORLD TRANSPORT COURIER    ; 28456    ; 76631876-2</t>
  </si>
  <si>
    <t>WORLD TRANSPORT COURIER    ; 28388    ; 76631876-2</t>
  </si>
  <si>
    <t>WORLD TRANSPORT COURIER    ; 10652    ; 76631876-2</t>
  </si>
  <si>
    <t>WORLD TRANSPORT COURIER    ; 28437    ; 76631876-2</t>
  </si>
  <si>
    <t>WORLD TRANSPORT COURIER    ; 28415    ; 76631876-2</t>
  </si>
  <si>
    <t>WORLD TRANSPORT COURIER    ; 28368    ; 76631876-2</t>
  </si>
  <si>
    <t>WORLD TRANSPORT COURIER    ; 28212    ; 76631876-2</t>
  </si>
  <si>
    <t>WORLD TRANSPORT COURIER    ; 28172    ; 76631876-2</t>
  </si>
  <si>
    <t>WORLD TRANSPORT COURIER    ; 28452    ; 76631876-2</t>
  </si>
  <si>
    <t>WORLD TRANSPORT COURIER    ; 28399    ; 76631876-2</t>
  </si>
  <si>
    <t>WORLD TRANSPORT COURIER    ; 10559    ; 76631876-2</t>
  </si>
  <si>
    <t>WORLD TRANSPORT COURIER    ; 10057    ; 76631876-2</t>
  </si>
  <si>
    <t>WORLD TRANSPORT COURIER    ; 10056    ; 76631876-2</t>
  </si>
  <si>
    <t>WORLD TRANSPORT COURIER    ; 10055    ; 76631876-2</t>
  </si>
  <si>
    <t>WORLD TRANSPORT COURIER    ; 10054    ; 76631876-2</t>
  </si>
  <si>
    <t>WORLD TRANSPORT COURIER    ; 28449    ; 76631876-2</t>
  </si>
  <si>
    <t>WORLD TRANSPORT COURIER    ; 28438    ; 76631876-2</t>
  </si>
  <si>
    <t>WORLD TRANSPORT COURIER    ; 28417    ; 76631876-2</t>
  </si>
  <si>
    <t>WORLD TRANSPORT COURIER    ; 28366    ; 76631876-2</t>
  </si>
  <si>
    <t>WORLD TRANSPORT COURIER    ; 10508    ; 76631876-2</t>
  </si>
  <si>
    <t>WORLD TRANSPORT COURIER    ; 28439    ; 76631876-2</t>
  </si>
  <si>
    <t>WORLD TRANSPORT COURIER    ; 28429    ; 76631876-2</t>
  </si>
  <si>
    <t>WORLD TRANSPORT COURIER    ; 28419    ; 76631876-2</t>
  </si>
  <si>
    <t>WORLD TRANSPORT COURIER    ; 28424    ; 76631876-2</t>
  </si>
  <si>
    <t>WORLD TRANSPORT COURIER    ; 28402    ; 76631876-2</t>
  </si>
  <si>
    <t>WORLD TRANSPORT COURIER    ; 28427    ; 76631876-2</t>
  </si>
  <si>
    <t>WORLD TRANSPORT COURIER    ; 28430    ; 76631876-2</t>
  </si>
  <si>
    <t>WORLD TRANSPORT COURIER    ; 10553    ; 76631876-2</t>
  </si>
  <si>
    <t>WORLD TRANSPORT COURIER    ; 10513    ; 76631876-2</t>
  </si>
  <si>
    <t>WORLD TRANSPORT COURIER    ; 28426    ; 76631876-2</t>
  </si>
  <si>
    <t>WORLD TRANSPORT COURIER    ; 28391    ; 76631876-2</t>
  </si>
  <si>
    <t>WORLD TRANSPORT COURIER    ; 28454    ; 76631876-2</t>
  </si>
  <si>
    <t>WORLD TRANSPORT COURIER    ; 28390    ; 76631876-2</t>
  </si>
  <si>
    <t>WORLD TRANSPORT COURIER    ; 28448    ; 76631876-2</t>
  </si>
  <si>
    <t>WORLD TRANSPORT COURIER    ; 28447    ; 76631876-2</t>
  </si>
  <si>
    <t>WORLD TRANSPORT COURIER    ; 28407    ; 76631876-2</t>
  </si>
  <si>
    <t>WORLD TRANSPORT COURIER    ; 28406    ; 76631876-2</t>
  </si>
  <si>
    <t>WORLD TRANSPORT COURIER    ; 28405    ; 76631876-2</t>
  </si>
  <si>
    <t>WORLD TRANSPORT COURIER    ; 28404    ; 76631876-2</t>
  </si>
  <si>
    <t>WORLD TRANSPORT COURIER    ; 10542    ; 76631876-2</t>
  </si>
  <si>
    <t>WORLD TRANSPORT COURIER    ; 10541    ; 76631876-2</t>
  </si>
  <si>
    <t>WORLD TRANSPORT COURIER    ; 28396    ; 76631876-2</t>
  </si>
  <si>
    <t>INVERSIONES RED FRESH SPA    ; 42754    ; 76515997-0</t>
  </si>
  <si>
    <t>INVERSIONES RED FRESH SPA    ; 42756    ; 76515997-0</t>
  </si>
  <si>
    <t>INVERSIONES RED FRESH SPA    ; 42759    ; 76515997-0</t>
  </si>
  <si>
    <t>INVERSIONES RED FRESH SPA    ; 42760    ; 76515997-0</t>
  </si>
  <si>
    <t>INVERSIONES RED FRESH SPA    ; 42761    ; 76515997-0</t>
  </si>
  <si>
    <t>SERVICIOS RED BROTHERS SPA    ; 1858    ; 77182411-0</t>
  </si>
  <si>
    <t>RENTAL Y TRANSPORTE GRAN NORTE SPA    ; 421    ; 77890523-K</t>
  </si>
  <si>
    <t>ALL MEDICAL DEVICES    ; 14786    ; 76270953-8</t>
  </si>
  <si>
    <t>ALL MEDICAL DEVICES    ; 14785    ; 76270953-8</t>
  </si>
  <si>
    <t>ALL MEDICAL DEVICES    ; 14787    ; 76270953-8</t>
  </si>
  <si>
    <t>Jaime Enrique Navarrete Rojas    ; 270    ; 15479343-7</t>
  </si>
  <si>
    <t>TRANSPORTES Y LOGISTICA BOUZOUT-SOLIS SPA    ; 124    ; 77825095-0</t>
  </si>
  <si>
    <t>ACP PRINDE CHILE SPA    ; 573    ; 76732685-8</t>
  </si>
  <si>
    <t>ACP PRINDE CHILE SPA    ; 572    ; 76732685-8</t>
  </si>
  <si>
    <t>JA PUBLICIDAD SpA    ; 483    ; 77788902-8</t>
  </si>
  <si>
    <t>JANTECH SPA    ; 273    ; 77794423-1</t>
  </si>
  <si>
    <t>RADIADORES NACIONALES SPA    ; 327    ; 77921091-K</t>
  </si>
  <si>
    <t>INVERSIONES SYS SPA    ; 126    ; 77529904-5</t>
  </si>
  <si>
    <t>RENTAL Y TRANSPORTE GRAN NORTE SPA    ; 412    ; 77890523-K</t>
  </si>
  <si>
    <t>RENTAL Y TRANSPORTE GRAN NORTE SPA    ; 415    ; 77890523-K</t>
  </si>
  <si>
    <t>RENTAL Y TRANSPORTE GRAN NORTE SPA    ; 413    ; 77890523-K</t>
  </si>
  <si>
    <t>RENTAL Y TRANSPORTE GRAN NORTE SPA    ; 416    ; 77890523-K</t>
  </si>
  <si>
    <t>RENTAL Y TRANSPORTE GRAN NORTE SPA    ; 417    ; 77890523-K</t>
  </si>
  <si>
    <t>RENTAL Y TRANSPORTE GRAN NORTE SPA    ; 418    ; 77890523-K</t>
  </si>
  <si>
    <t>RENTAL Y TRANSPORTE GRAN NORTE SPA    ; 419    ; 77890523-K</t>
  </si>
  <si>
    <t>RENTAL Y TRANSPORTE GRAN NORTE SPA    ; 420    ; 77890523-K</t>
  </si>
  <si>
    <t>RENTAL Y TRANSPORTE GRAN NORTE SPA    ; 411    ; 77890523-K</t>
  </si>
  <si>
    <t>MARTIN ARTURO MOREIRA PONCE    ; 395    ; 3998818-6</t>
  </si>
  <si>
    <t>INDUSTRIA DISTRIBUIDORA DE MERCADO SPA    ; 231    ; 77745829-9</t>
  </si>
  <si>
    <t>INDUSTRIA DISTRIBUIDORA DE MERCADO SPA    ; 232    ; 77745829-9</t>
  </si>
  <si>
    <t>DGI INGENIERIA Y CONSTRUCCION LIMITADA    ; 609    ; 77009556-5</t>
  </si>
  <si>
    <t>Distribución y servicios campomanes spa    ; 72297    ; 99552380-9</t>
  </si>
  <si>
    <t>Distribución y servicios campomanes spa    ; 72307    ; 99552380-9</t>
  </si>
  <si>
    <t>Distribución y servicios campomanes spa    ; 72319    ; 99552380-9</t>
  </si>
  <si>
    <t>Distribución y servicios campomanes spa    ; 72355    ; 99552380-9</t>
  </si>
  <si>
    <t>Distribución y servicios campomanes spa    ; 72371    ; 99552380-9</t>
  </si>
  <si>
    <t>COMERCIALIZADORA DE EQUIPOS E INSUMOS MEDICOS MEDIMEC SPA    ; 58    ; 77938989-8</t>
  </si>
  <si>
    <t>Luis Alberto Soto Peluk    ; 10543    ; 16006357-2</t>
  </si>
  <si>
    <t>Marco Antonio Placencia Toledo    ; 1852    ; 20275260-8</t>
  </si>
  <si>
    <t>Marco Antonio Placencia Toledo    ; 1867    ; 20275260-8</t>
  </si>
  <si>
    <t>ALURENT SPA    ; 987    ; 77266271-8</t>
  </si>
  <si>
    <t>FVL SPA    ; 178001    ; 77295911-7</t>
  </si>
  <si>
    <t>36YMEDIOPRODUCCIONES SPA    ; 210    ; 77785032-6</t>
  </si>
  <si>
    <t>COMERCIAL VYP LIMITADA    ; 12501    ; 76406548-4</t>
  </si>
  <si>
    <t>COMERCIAL VYP LIMITADA    ; 12436    ; 76406548-4</t>
  </si>
  <si>
    <t>ASESORIAS Y PROYECCIONES EXPONENCIAL LTDA    ; 364    ; 76309339-5</t>
  </si>
  <si>
    <t>Inversiones DPS SpA    ; 20    ; 78081405-5</t>
  </si>
  <si>
    <t>Inversiones DPS SpA    ; 17    ; 78081405-5</t>
  </si>
  <si>
    <t>ATSA CHILE S A    ; 17032    ; 96945000-3</t>
  </si>
  <si>
    <t>ATSA CHILE S A    ; 16992    ; 96945000-3</t>
  </si>
  <si>
    <t>GREENVITAL LIMITADA    ; 141    ; 77281635-9</t>
  </si>
  <si>
    <t>GREENVITAL LIMITADA    ; 140    ; 77281635-9</t>
  </si>
  <si>
    <t>GREENVITAL LIMITADA    ; 139    ; 77281635-9</t>
  </si>
  <si>
    <t>FREEZLAB SPA    ; 132    ; 77927779-8</t>
  </si>
  <si>
    <t>FREEZLAB SPA    ; 131    ; 77927779-8</t>
  </si>
  <si>
    <t>FREEZLAB SPA    ; 130    ; 77927779-8</t>
  </si>
  <si>
    <t>36YMEDIOPRODUCCIONES SPA    ; 209    ; 77785032-6</t>
  </si>
  <si>
    <t>VNT (A.CAPITAL VNT FACTORING 12-12-2022)</t>
  </si>
  <si>
    <t>Biomundo SpA    ; 10604    ; 76261586-K</t>
  </si>
  <si>
    <t>Biomundo SpA    ; 10602    ; 76261586-K</t>
  </si>
  <si>
    <t>Biomundo SpA    ; 10597    ; 76261586-K</t>
  </si>
  <si>
    <t>Biomundo SpA    ; 10596    ; 76261586-K</t>
  </si>
  <si>
    <t>Biomundo SpA    ; 10593    ; 76261586-K</t>
  </si>
  <si>
    <t>Biomundo SpA    ; 10592    ; 76261586-K</t>
  </si>
  <si>
    <t>SOLTHERM SERVICIOS EN CLIMATIZACION SPA    ; 396    ; 77955237-3</t>
  </si>
  <si>
    <t>SOLTHERM SERVICIOS EN CLIMATIZACION SPA    ; 393    ; 77955237-3</t>
  </si>
  <si>
    <t>Biomundo SpA    ; 10607    ; 76261586-K</t>
  </si>
  <si>
    <t>FS Roma SpA    ; 655    ; 77257466-5</t>
  </si>
  <si>
    <t>SERVICIOS DE TRANSPORTE Y COMERCIO INTERNACIONAL TR3S VIAS    ; 25220    ; 76176377-6</t>
  </si>
  <si>
    <t>SERVICIOS DE TRANSPORTE Y COMERCIO INTERNACIONAL TR3S VIAS    ; 25208    ; 76176377-6</t>
  </si>
  <si>
    <t>SERVICIOS DE TRANSPORTE Y COMERCIO INTERNACIONAL TR3S VIAS    ; 25207    ; 76176377-6</t>
  </si>
  <si>
    <t>SERVICIOS DE TRANSPORTE Y COMERCIO INTERNACIONAL TR3S VIAS    ; 25206    ; 76176377-6</t>
  </si>
  <si>
    <t>SERVICIOS DE TRANSPORTE Y COMERCIO INTERNACIONAL TR3S VIAS    ; 25216    ; 76176377-6</t>
  </si>
  <si>
    <t>SERVICIOS DE TRANSPORTE Y COMERCIO INTERNACIONAL TR3S VIAS    ; 25215    ; 76176377-6</t>
  </si>
  <si>
    <t>SERVICIOS DE TRANSPORTE Y COMERCIO INTERNACIONAL TR3S VIAS    ; 25212    ; 76176377-6</t>
  </si>
  <si>
    <t>SERVICIOS DE TRANSPORTE Y COMERCIO INTERNACIONAL TR3S VIAS    ; 25211    ; 76176377-6</t>
  </si>
  <si>
    <t>SERVICIOS DE TRANSPORTE Y COMERCIO INTERNACIONAL TR3S VIAS    ; 25210    ; 76176377-6</t>
  </si>
  <si>
    <t>Instalaciones electricas JN    ; 285    ; 76906588-1</t>
  </si>
  <si>
    <t>POLYTEX S.A.    ; 169003    ; 96777810-9</t>
  </si>
  <si>
    <t>POLYTEX S.A.    ; 169002    ; 96777810-9</t>
  </si>
  <si>
    <t>AGROPECUARIO SPA    ; 122339    ; 76553064-4</t>
  </si>
  <si>
    <t>AGROPECUARIO SPA    ; 121966    ; 76553064-4</t>
  </si>
  <si>
    <t>AGROPECUARIO SPA    ; 123197    ; 76553064-4</t>
  </si>
  <si>
    <t>36YMEDIOPRODUCCIONES SPA    ; 207    ; 77785032-6</t>
  </si>
  <si>
    <t>IMPORTADORA Y COMERCIALIZADORA PARTNER S.A.    ; 10257    ; 77101893-9</t>
  </si>
  <si>
    <t>OFB CONSULTING LTDA    ; 3027    ; 77868840-9</t>
  </si>
  <si>
    <t>IMPORT.Y DISTRIBUIDORA SEISLUCES S.A.    ; 4207221    ; 76168208-3</t>
  </si>
  <si>
    <t>IMPORT.Y DISTRIBUIDORA SEISLUCES S.A.    ; 4207227    ; 76168208-3</t>
  </si>
  <si>
    <t>AGROPECUARIO SPA    ; 123772     ; 76553064-4</t>
  </si>
  <si>
    <t>FOOD &amp; FEED INGREDIENTS SPA    ; 2116     ; 76920742-2</t>
  </si>
  <si>
    <t>SEAPHARMA CHILE SPA    ; 64     ; 77684334-2</t>
  </si>
  <si>
    <t>GRUPO LECAROS S.A.    ; 450     ; 76268982-0</t>
  </si>
  <si>
    <t>IMPORT.Y DISTRIBUIDORA SEISLUCES S.A.    ; 71969     ; 76168208-3</t>
  </si>
  <si>
    <t>IMPORT.Y DISTRIBUIDORA SEISLUCES S.A.    ; 71968     ; 76168208-3</t>
  </si>
  <si>
    <t>36YMEDIOPRODUCCIONES SPA    ; 205     ; 77785032-6</t>
  </si>
  <si>
    <t>SERVEN CHILE SPA    ; 23742     ; 76692268-6</t>
  </si>
  <si>
    <t>TRANSPORTES ARCOS Y OSORNO LTDA.    ; 652     ; 77489884-0</t>
  </si>
  <si>
    <t>TRANSPORTES ARCOS Y OSORNO LTDA.    ; 651     ; 77489884-0</t>
  </si>
  <si>
    <t>TRANSPORTES ARCOS Y OSORNO LTDA.    ; 650     ; 77489884-0</t>
  </si>
  <si>
    <t>TRANSPORTES ARCOS Y OSORNO LTDA.    ; 649     ; 77489884-0</t>
  </si>
  <si>
    <t>TRANSPORTES ARCOS Y OSORNO LTDA.    ; 648     ; 77489884-0</t>
  </si>
  <si>
    <t>TRANSPORTES ARCOS Y OSORNO LTDA.    ; 647     ; 77489884-0</t>
  </si>
  <si>
    <t>TRANSPORTES ARCOS Y OSORNO LTDA.    ; 646     ; 77489884-0</t>
  </si>
  <si>
    <t>TRANSPORTES ARCOS Y OSORNO LTDA.    ; 645     ; 77489884-0</t>
  </si>
  <si>
    <t>SERVEN CHILE SPA    ; 23698     ; 76692268-6</t>
  </si>
  <si>
    <t>SERVEN CHILE SPA    ; 23699     ; 76692268-6</t>
  </si>
  <si>
    <t>SERVEN CHILE SPA    ; 23701     ; 76692268-6</t>
  </si>
  <si>
    <t>SERVEN CHILE SPA    ; 23702     ; 76692268-6</t>
  </si>
  <si>
    <t>SERVEN CHILE SPA    ; 23705     ; 76692268-6</t>
  </si>
  <si>
    <t>SERVEN CHILE SPA    ; 23706     ; 76692268-6</t>
  </si>
  <si>
    <t>SERVEN CHILE SPA    ; 23707     ; 76692268-6</t>
  </si>
  <si>
    <t>SERVEN CHILE SPA    ; 23708     ; 76692268-6</t>
  </si>
  <si>
    <t>SERVEN CHILE SPA    ; 23709     ; 76692268-6</t>
  </si>
  <si>
    <t>SERVEN CHILE SPA    ; 23710     ; 76692268-6</t>
  </si>
  <si>
    <t>SERVEN CHILE SPA    ; 23704     ; 76692268-6</t>
  </si>
  <si>
    <t>SERVEN CHILE SPA    ; 23711     ; 76692268-6</t>
  </si>
  <si>
    <t>SERVEN CHILE SPA    ; 23712     ; 76692268-6</t>
  </si>
  <si>
    <t>SERVEN CHILE SPA    ; 23717     ; 76692268-6</t>
  </si>
  <si>
    <t>Piscinería RDF SpA    ; 509     ; 76617037-4</t>
  </si>
  <si>
    <t>MAESTRANZA TORMAQ SPA    ; 847     ; 76841052-6</t>
  </si>
  <si>
    <t>RADIADORES NACIONALES SPA    ; 314     ; 77921091-K</t>
  </si>
  <si>
    <t>MULTISERVICIOS INTEGRALES SPA    ; 340     ; 77495942-4</t>
  </si>
  <si>
    <t>INGENIERIA EN CONSTRUCCION VIAL SPA    ; 2408     ; 76954884-K</t>
  </si>
  <si>
    <t>SERVEN CHILE SPA    ; 23713     ; 76692268-6</t>
  </si>
  <si>
    <t>SERVEN CHILE SPA    ; 23718     ; 76692268-6</t>
  </si>
  <si>
    <t>FOOD &amp; FEED INGREDIENTS SPA    ; 2117     ; 76920742-2</t>
  </si>
  <si>
    <t>Rosa Lizana Llanten    ; 1282     ; 16005150-7</t>
  </si>
  <si>
    <t>PRODUCTOS BIOLOGICOS PROBO SPA    ; 1489     ; 76518004-K</t>
  </si>
  <si>
    <t>Piscinería RDF SpA    ; 506     ; 76617037-4</t>
  </si>
  <si>
    <t>SOC. JOSE M. AREVALO Y CIA LTDA    ; 2748     ; 78219040-7</t>
  </si>
  <si>
    <t>SERVEN CHILE SPA    ; 23679    ; 76692268-6</t>
  </si>
  <si>
    <t>IRUN INVERSIONES COMERCIALES LIMITADA    ; 30    ; 76857739-0</t>
  </si>
  <si>
    <t>IRUN INVERSIONES COMERCIALES LIMITADA    ; 29    ; 76857739-0</t>
  </si>
  <si>
    <t>UTILITY TRAILER CHILE IMPORTADORA SPA    ; 433583    ; 76790380-4</t>
  </si>
  <si>
    <t>UTILITY TRAILER CHILE IMPORTADORA SPA    ; 333583    ; 76790380-4</t>
  </si>
  <si>
    <t>PARAISO DEL SUR  S.A.    ; 3245589    ; 76733230-0</t>
  </si>
  <si>
    <t>UTILITY TRAILER CHILE IMPORTADORA SPA    ; 335854    ; 76790380-4</t>
  </si>
  <si>
    <t>UTILITY TRAILER CHILE IMPORTADORA SPA    ; 335387    ; 76790380-4</t>
  </si>
  <si>
    <t>TEC SpA    ; 2050    ; 76772367-9</t>
  </si>
  <si>
    <t>SMC SpA    ; 1276    ; 77772452-5</t>
  </si>
  <si>
    <t>SMC SpA    ; 1275    ; 77772452-5</t>
  </si>
  <si>
    <t>Piscinería RDF SpA    ; 503    ; 76617037-4</t>
  </si>
  <si>
    <t>A Y V CONSTRUCCIONES SPA    ; 257    ; 77482057-4</t>
  </si>
  <si>
    <t>IMPORTADORA CROMTEK SPA.    ; 128727    ; 76122343-7</t>
  </si>
  <si>
    <t>AGROSERVICIOS ROMERAL SPA    ; 399    ; 77317706-6</t>
  </si>
  <si>
    <t>AGROSERVICIOS ROMERAL SPA    ; 405    ; 77317706-6</t>
  </si>
  <si>
    <t>IMPORTADORA Y COMERCIALIZADORA PARTNER S.A.    ; 10107    ; 77101893-9</t>
  </si>
  <si>
    <t>ACTIVO MAS S.A.        ;   3012    ; 76926589-9</t>
  </si>
  <si>
    <t>IMPORT.Y DISTRIBUIDORA SEISLUCES S.A.        ;   71823    ; 76168208-3</t>
  </si>
  <si>
    <t>IMPORT.Y DISTRIBUIDORA SEISLUCES S.A.        ;   71826    ; 76168208-3</t>
  </si>
  <si>
    <t>Envaplast Chile Spa    ; 7274    ; 76830296-0</t>
  </si>
  <si>
    <t>Envaplast Chile Spa    ; 7239    ; 76830296-0</t>
  </si>
  <si>
    <t>Envaplast Chile Spa    ; 7271    ; 76830296-0</t>
  </si>
  <si>
    <t>Envaplast Chile Spa    ; 7267    ; 76830296-0</t>
  </si>
  <si>
    <t>Envaplast Chile Spa    ; 7244    ; 76830296-0</t>
  </si>
  <si>
    <t>IMPORTADORA Y COMERCIALIZADORA PARTNER S.A.    ; 10156    ; 77101893-9</t>
  </si>
  <si>
    <t>IMPORTADORA Y COMERCIALIZADORA PARTNER S.A.    ; 10111    ; 77101893-9</t>
  </si>
  <si>
    <t>ARIDOS MONTE PATRIA SPA    ; 257    ; 77647806-7</t>
  </si>
  <si>
    <t>IMPORTADORA Y COMERCIALIZADORA PARTNER S.A.    ; 10151    ; 77101893-9</t>
  </si>
  <si>
    <t>SMC SpA    ; 276    ; 77772452-5</t>
  </si>
  <si>
    <t>TEC SpA    ; 2048    ; 76772367-9</t>
  </si>
  <si>
    <t>TEC SpA    ; 2049    ; 76772367-9</t>
  </si>
  <si>
    <t>INGENIERIA Y CONSTRUCCION RICARDO RODRIGUEZ Y CIA. LTDA    ; 1504806    ; 89912300-K</t>
  </si>
  <si>
    <t>SERVEN CHILE SPA        ; 23179    ; 76692268-6</t>
  </si>
  <si>
    <t>INMOBILIARIA Y CONSTRUCTORA ECR SPA    ; 84    ; 76888318-1</t>
  </si>
  <si>
    <t>LEON TRIBU JUDA SpA    ; 62    ; 77926468-8</t>
  </si>
  <si>
    <t>LEON TRIBU JUDA SpA    ; 58    ; 77926468-8</t>
  </si>
  <si>
    <t>LEON TRIBU JUDA SpA    ; 60    ; 77926468-8</t>
  </si>
  <si>
    <t>DANIEL VIDAL PAISAJISMO E.I.R.L.    ; 370    ; 77121618-8</t>
  </si>
  <si>
    <t>SERVICIOS DE MANTENCIÓN Y PROYECTOS DE INGENIERÍA LUCIANO MEDEL E.I.R.    ; 43    ; 77867129-8</t>
  </si>
  <si>
    <t>LEON TRIBU JUDA SpA    ; 65    ; 77926468-8</t>
  </si>
  <si>
    <t>LEON TRIBU JUDA SpA    ; 61    ; 77926468-8</t>
  </si>
  <si>
    <t>LEON TRIBU JUDA SpA    ; 57    ; 77926468-8</t>
  </si>
  <si>
    <t>LEON TRIBU JUDA SpA    ; 64    ; 77926468-8</t>
  </si>
  <si>
    <t>LEON TRIBU JUDA SpA    ; 59    ; 77926468-8</t>
  </si>
  <si>
    <t>Piscinería RDF SpA    ;  500    ;  76617037-4</t>
  </si>
  <si>
    <t>SERVEN CHILE SPA    ;  23249    ;  76692268-6</t>
  </si>
  <si>
    <t>SERVEN CHILE SPA    ;  23252    ;  76692268-6</t>
  </si>
  <si>
    <t>SERVEN CHILE SPA    ;  23251    ;  76692268-6</t>
  </si>
  <si>
    <t>ADHEMAK SPA    ;  28676    ;  77663270-8</t>
  </si>
  <si>
    <t>ADHEMAK SPA    ;  28674    ;  77663270-8</t>
  </si>
  <si>
    <t>ADHEMAK SPA    ;      28674    ; 77663270-8</t>
  </si>
  <si>
    <t>ADHEMAK SPA    ;      28676    ; 77663270-8</t>
  </si>
  <si>
    <t>SERVEN CHILE SPA    ; 23251    ; 76692268-6</t>
  </si>
  <si>
    <t>SERVEN CHILE SPA    ; 23252    ; 76692268-6</t>
  </si>
  <si>
    <t>SERVEN CHILE SPA    ; 23249    ; 76692268-6</t>
  </si>
  <si>
    <t>SERVEN CHILE SPA    ; 23179    ; 76692268-6</t>
  </si>
  <si>
    <t>IMPORTADORA CROMTEK SPA.    ; 168727    ; 76122343-7</t>
  </si>
  <si>
    <t>IMPORTADORA CROMTEK SPA.    ; 158727    ; 76122343-7</t>
  </si>
  <si>
    <t>IMPORTADORA CROMTEK SPA.    ; 148727    ; 76122343-7</t>
  </si>
  <si>
    <t>IMPORTADORA CROMTEK SPA.    ; 138727    ; 76122343-7</t>
  </si>
  <si>
    <t>SERVEN CHILE SPA    ; 23098    ; 76692268-6</t>
  </si>
  <si>
    <t>BIOGROW LATAM SPA.    ; 1238    ; 76377049-4</t>
  </si>
  <si>
    <t>BIOGROW LATAM SPA.    ; 1237    ; 76377049-4</t>
  </si>
  <si>
    <t>BIOGROW LATAM SPA.    ; 1236    ; 76377049-4</t>
  </si>
  <si>
    <t>BIOGROW LATAM SPA.    ; 1235    ; 76377049-4</t>
  </si>
  <si>
    <t>PISCINERÍA RDF SPA    ; 498    ; 76617037-4</t>
  </si>
  <si>
    <t>COMERCIALIZADORA GENERAL CHILE SPA    ; 170    ; 77394867-4</t>
  </si>
  <si>
    <t>COMERCIALIZADORA GENERAL CHILE SPA    ; 167    ; 77394867-4</t>
  </si>
  <si>
    <t>COMERCIALIZADORA GENERAL CHILE SPA    ; 166    ; 77394867-4</t>
  </si>
  <si>
    <t>Servicios y Seguridad Limitada    ; 13552    ; 76055741-2</t>
  </si>
  <si>
    <t>Servicios y Seguridad Limitada    ; 13527    ; 76055741-2</t>
  </si>
  <si>
    <t>Servicios y Seguridad Limitada    ; 13513    ; 76055741-2</t>
  </si>
  <si>
    <t>MIDATECH CONSULTORES LTDA    ; 1027    ; 76194025-2</t>
  </si>
  <si>
    <t>MIDATECH CONSULTORES LTDA    ; 1026    ; 76194025-2</t>
  </si>
  <si>
    <t>INNOVA TELECOM SPA    ; 155    ; 77967395-2</t>
  </si>
  <si>
    <t>INNOVA TELECOM SPA    ; 157    ; 77967395-2</t>
  </si>
  <si>
    <t>INVERSIONES RED FRESH SPA    ; 43067    ; 76515997-0</t>
  </si>
  <si>
    <t>INVERSIONES RED FRESH SPA    ; 43069    ; 76515997-0</t>
  </si>
  <si>
    <t>INVERSIONES RED FRESH SPA    ; 43072    ; 76515997-0</t>
  </si>
  <si>
    <t>INVERSIONES RED FRESH SPA    ; 43073    ; 76515997-0</t>
  </si>
  <si>
    <t>INVERSIONES RED FRESH SPA    ; 43074    ; 76515997-0</t>
  </si>
  <si>
    <t>TECNICA COMERCIAL SANTIAGO VALVULAS SA    ; 27329    ; 79839490-8</t>
  </si>
  <si>
    <t>TECNICA COMERCIAL SANTIAGO VALVULAS SA    ; 27330    ; 79839490-8</t>
  </si>
  <si>
    <t>Luis Alberto Soto Peluk    ; 10618    ; 16006357-2</t>
  </si>
  <si>
    <t>SERVEN CHILE SPA    ; 25067    ; 76692268-6</t>
  </si>
  <si>
    <t>SERVEN CHILE SPA    ; 25075    ; 76692268-6</t>
  </si>
  <si>
    <t>SERVEN CHILE SPA    ; 25065    ; 76692268-6</t>
  </si>
  <si>
    <t>SERVEN CHILE SPA    ; 25072    ; 76692268-6</t>
  </si>
  <si>
    <t>SERVEN CHILE SPA    ; 25074    ; 76692268-6</t>
  </si>
  <si>
    <t>INGELEC PVL SPA    ; 140    ; 76423548-7</t>
  </si>
  <si>
    <t>INGELEC PVL SPA    ; 141    ; 76423548-7</t>
  </si>
  <si>
    <t>ALURENT SPA    ; 1023    ; 77266271-8</t>
  </si>
  <si>
    <t>COMERCIAL EL ESTERO SPA    ; 2555    ; 77038688-8</t>
  </si>
  <si>
    <t>Elevator Controls Limitada    ; 1315    ; 77232422-7</t>
  </si>
  <si>
    <t>Elevator Controls Limitada    ; 1318    ; 77232422-7</t>
  </si>
  <si>
    <t>TOQUIHUE INGENIERIA Y CONSTRUCCIÓN SPA    ; 54    ; 77947067-9</t>
  </si>
  <si>
    <t>Luis Alberto Soto Peluk    ; 10660    ; 16006357-2</t>
  </si>
  <si>
    <t>COMERCIALIZADORA GENERAL CHILE SPA    ; 169    ; 77394867-4</t>
  </si>
  <si>
    <t>COMERCIALIZADORA GENERAL CHILE SPA;    168;    77394867-4</t>
  </si>
  <si>
    <t>SOCIEDAD DE TRANSPORTES CIBA SPA    ; 194001    ; 76337011-9</t>
  </si>
  <si>
    <t>Mobile Security SpA    ; 193001    ; 76179256-3</t>
  </si>
  <si>
    <t>SERVICIOS DE FABRICACIÓN E INSTALACIÓN VITROMAT LIMITADA    ; 996    ; 76885838-1</t>
  </si>
  <si>
    <t>PCS TEL    ; 375    ; 77385830-6</t>
  </si>
  <si>
    <t>IBAE SPA    ; 241    ; 77694786-5</t>
  </si>
  <si>
    <t>DGI INGENIERIA Y CONSTRUCCION LIMITADA    ; 623    ; 77009556-5</t>
  </si>
  <si>
    <t>DGI INGENIERIA Y CONSTRUCCION LIMITADA    ; 626    ; 77009556-5</t>
  </si>
  <si>
    <t>CIBER CLOUD SPA    ; 965    ; 77167314-7</t>
  </si>
  <si>
    <t>Luis Alberto Soto Peluk    ; 10646    ; 16006357-2</t>
  </si>
  <si>
    <t>JIMENEZ Y GALVEZ, TRANSPORTES Y SERVICIOS LIMITADA    ; 9658    ; 76228166-K</t>
  </si>
  <si>
    <t>JIMENEZ Y GALVEZ, TRANSPORTES Y SERVICIOS LIMITADA    ; 9657    ; 76228166-K</t>
  </si>
  <si>
    <t>JIMENEZ Y GALVEZ, TRANSPORTES Y SERVICIOS LIMITADA    ; 9656    ; 76228166-K</t>
  </si>
  <si>
    <t>FS Roma SpA    ; 697    ; 77257466-5</t>
  </si>
  <si>
    <t>Climacool servicios a la mineria SPA    ; 1018    ; 77855048-2</t>
  </si>
  <si>
    <t>EMPRESAS DPC S.A.    ; 26971    ; 76208717-0</t>
  </si>
  <si>
    <t>EMPRESAS DPC S.A.    ; 26972    ; 76208717-0</t>
  </si>
  <si>
    <t>Luis Alberto Soto Peluk    ; 10643    ; 16006357-2</t>
  </si>
  <si>
    <t>COMERCIALIZADORA GENERAL CHILE SPA    ; 171    ; 77394867-4</t>
  </si>
  <si>
    <t>CONSTRUCCION Y URBANIZACION SPA    ; 417    ; 76995137-7</t>
  </si>
  <si>
    <t>EMPRESAS DPC S.A.    ; 27003    ; 76208717-0</t>
  </si>
  <si>
    <t>EMPRESAS DPC S.A.    ; 26983    ; 76208717-0</t>
  </si>
  <si>
    <t>EMPRESAS DPC S.A.    ; 26984    ; 76208717-0</t>
  </si>
  <si>
    <t>EMPRESAS DPC S.A.    ; 26985    ; 76208717-0</t>
  </si>
  <si>
    <t>EMPRESAS DPC S.A.    ; 26997    ; 76208717-0</t>
  </si>
  <si>
    <t>EMPRESAS DPC S.A.    ; 26998    ; 76208717-0</t>
  </si>
  <si>
    <t>EMPRESAS DPC S.A.    ; 26999    ; 76208717-0</t>
  </si>
  <si>
    <t>EMPRESAS DPC S.A.    ; 27000    ; 76208717-0</t>
  </si>
  <si>
    <t>EMPRESAS DPC S.A.    ; 27001    ; 76208717-0</t>
  </si>
  <si>
    <t>DON GABRIEL SPA (18-08-2022)</t>
  </si>
  <si>
    <t>Distribución y servicios campomanes spa    ; 190005    ; 99552380-9</t>
  </si>
  <si>
    <t>Distribución y servicios campomanes spa    ; 190004    ; 99552380-9</t>
  </si>
  <si>
    <t>Distribución y servicios campomanes spa    ; 190003    ; 99552380-9</t>
  </si>
  <si>
    <t>Distribución y servicios campomanes spa    ; 190002    ; 99552380-9</t>
  </si>
  <si>
    <t>Distribución y servicios campomanes spa    ; 190001    ; 99552380-9</t>
  </si>
  <si>
    <t>VNT (TESORERIA VNT 14-11-25)</t>
  </si>
  <si>
    <t>FOOD &amp; FEED INGREDIENTS    ; 189001    ; 76920742-2</t>
  </si>
  <si>
    <t>A.W.FABER-CASTELL CHILE S.A. ;    1,087,258 ;   76626060-8</t>
  </si>
  <si>
    <t>Distribución y servicios campomanes spa    ;        72732    ; 99552380-9</t>
  </si>
  <si>
    <t>COMERCIAL VYP LIMITADA    ; 12830    ; 76406548-4</t>
  </si>
  <si>
    <t>COMERCIAL VYP LIMITADA    ; 12855    ; 76406548-4</t>
  </si>
  <si>
    <t>COMERCIAL VYP LIMITADA    ; 12871    ; 76406548-4</t>
  </si>
  <si>
    <t>COMERCIAL VYP LIMITADA    ; 12867    ; 76406548-4</t>
  </si>
  <si>
    <t>COMERCIAL VYP LIMITADA    ; 12864    ; 76406548-4</t>
  </si>
  <si>
    <t>COMERCIAL VYP LIMITADA    ; 12862    ; 76406548-4</t>
  </si>
  <si>
    <t>COMERCIAL VYP LIMITADA    ; 12880    ; 76406548-4</t>
  </si>
  <si>
    <t>COMERCIAL VYP LIMITADA    ; 12875    ; 76406548-4</t>
  </si>
  <si>
    <t>COMERCIAL VYP LIMITADA    ; 12898    ; 76406548-4</t>
  </si>
  <si>
    <t>COMERCIAL VYP LIMITADA    ; 12897    ; 76406548-4</t>
  </si>
  <si>
    <t>COMERCIAL VYP LIMITADA    ; 12896    ; 76406548-4</t>
  </si>
  <si>
    <t>Climacool servicios a la mineria SPA    ; 992    ; 77855048-2</t>
  </si>
  <si>
    <t>MAQUINARIAS CORCOLEN SPA    ; 921    ; 76806732-5</t>
  </si>
  <si>
    <t>MAQUINARIAS CORCOLEN SPA    ; 920    ; 76806732-5</t>
  </si>
  <si>
    <t>MAQUINARIAS CORCOLEN SPA    ; 919    ; 76806732-5</t>
  </si>
  <si>
    <t>MAQUINARIAS CORCOLEN SPA    ; 918    ; 76806732-5</t>
  </si>
  <si>
    <t>MAQUINARIAS CORCOLEN SPA    ; 917    ; 76806732-5</t>
  </si>
  <si>
    <t>TRANSPORTES Y LOGISTICA BOUZOUT-SOLIS SPA    ; 127    ; 77825095-0</t>
  </si>
  <si>
    <t>INVERSIONES SYS SPA    ; 128    ; 77529904-5</t>
  </si>
  <si>
    <t>RENTAL Y TRANSPORTE GRAN NORTE SPA    ; 447    ; 77890523-K</t>
  </si>
  <si>
    <t>RENTAL Y TRANSPORTE GRAN NORTE SPA    ; 446    ; 77890523-K</t>
  </si>
  <si>
    <t>RENTAL Y TRANSPORTE GRAN NORTE SPA    ; 444    ; 77890523-K</t>
  </si>
  <si>
    <t>RENTAL Y TRANSPORTE GRAN NORTE SPA    ; 443    ; 77890523-K</t>
  </si>
  <si>
    <t>RENTAL Y TRANSPORTE GRAN NORTE SPA    ; 442    ; 77890523-K</t>
  </si>
  <si>
    <t>TRANSPORTES DE CARGA Y PASAJEROS LIBERTAD SPA    ; 731    ; 77798023-8</t>
  </si>
  <si>
    <t>CEBRA SpA    ; 6699    ; 76341354-3</t>
  </si>
  <si>
    <t>CEBRA SpA    ; 6701    ; 76341354-3</t>
  </si>
  <si>
    <t>CEBRA SpA    ; 6703    ; 76341354-3</t>
  </si>
  <si>
    <t>Mobile Security SpA    ; 90484    ; 76179256-3</t>
  </si>
  <si>
    <t>Mobile Security SpA    ; 90458    ; 76179256-3</t>
  </si>
  <si>
    <t>Mobile Security SpA    ; 90457    ; 76179256-3</t>
  </si>
  <si>
    <t>Mobile Security SpA    ; 90467    ; 76179256-3</t>
  </si>
  <si>
    <t>Mobile Security SpA    ; 90438    ; 76179256-3</t>
  </si>
  <si>
    <t>BANQUETES MASITAS Y MAS SPA    ; 127    ; 77996189-3</t>
  </si>
  <si>
    <t>INGENIERIA Y CONSTRUCCION RICARDO RODRIGUEZ Y CIA. LTDA    ; 1509440    ; 89912300-K</t>
  </si>
  <si>
    <t>INGENIERIA Y CONSTRUCCION RICARDO RODRIGUEZ Y CIA. LTDA    ; 1509441    ; 89912300-K</t>
  </si>
  <si>
    <t>INGENIERIA Y CONSTRUCCION RICARDO RODRIGUEZ Y CIA. LTDA    ; 1509442    ; 89912300-K</t>
  </si>
  <si>
    <t>INGENIERIA Y CONSTRUCCION RICARDO RODRIGUEZ Y CIA. LTDA    ; 1509443    ; 89912300-K</t>
  </si>
  <si>
    <t>INGENIERIA Y CONSTRUCCION RICARDO RODRIGUEZ Y CIA. LTDA    ; 1509444    ; 89912300-K</t>
  </si>
  <si>
    <t>COMERCIAL CONSTRUFACE SPA    ; 779    ; 77096984-0</t>
  </si>
  <si>
    <t>COMERCIAL CONSTRUFACE SPA    ; 785    ; 77096984-0</t>
  </si>
  <si>
    <t>A&amp;R SERVICIOS INTEGRALES SPA    ; 198    ; 77120325-6</t>
  </si>
  <si>
    <t>A&amp;R SERVICIOS INTEGRALES SPA    ; 197    ; 77120325-6</t>
  </si>
  <si>
    <t>COMERCIAL EL ESTERO SPA    ; 2539    ; 77038688-8</t>
  </si>
  <si>
    <t>LA REPOSTERA SPA    ; 3988    ; 76465772-1</t>
  </si>
  <si>
    <t>LA REPOSTERA SPA    ; 3997    ; 76465772-1</t>
  </si>
  <si>
    <t>LA REPOSTERA SPA    ; 3998    ; 76465772-1</t>
  </si>
  <si>
    <t>SERVEN CHILE SPA    ; 24674    ; 76692268-6</t>
  </si>
  <si>
    <t>SERVEN CHILE SPA    ; 24681    ; 76692268-6</t>
  </si>
  <si>
    <t>SERVEN CHILE SPA    ; 24696    ; 76692268-6</t>
  </si>
  <si>
    <t>SERVEN CHILE SPA    ; 24697    ; 76692268-6</t>
  </si>
  <si>
    <t>SERVEN CHILE SPA    ; 24698    ; 76692268-6</t>
  </si>
  <si>
    <t>SERVEN CHILE SPA    ; 24699    ; 76692268-6</t>
  </si>
  <si>
    <t>SERVEN CHILE SPA    ; 24700    ; 76692268-6</t>
  </si>
  <si>
    <t>SERVEN CHILE SPA    ; 24701    ; 76692268-6</t>
  </si>
  <si>
    <t>SERVEN CHILE SPA    ; 24702    ; 76692268-6</t>
  </si>
  <si>
    <t>SERVEN CHILE SPA    ; 24704    ; 76692268-6</t>
  </si>
  <si>
    <t>SOCIEDAD COMERCIALIZADORA PSICOMUNDO LTDA    ; 473    ; 77982270-2</t>
  </si>
  <si>
    <t>INVERSIONES RED FRESH SPA    ; 42938    ; 76515997-0</t>
  </si>
  <si>
    <t>INVERSIONES RED FRESH SPA    ; 42947    ; 76515997-0</t>
  </si>
  <si>
    <t>INVERSIONES RED FRESH SPA    ; 42949    ; 76515997-0</t>
  </si>
  <si>
    <t>SERVEN CHILE SPA    ; 24738    ; 76692268-6</t>
  </si>
  <si>
    <t>SERVEN CHILE SPA    ; 24739    ; 76692268-6</t>
  </si>
  <si>
    <t>SERVEN CHILE SPA    ; 24740    ; 76692268-6</t>
  </si>
  <si>
    <t>SERVEN CHILE SPA    ; 24741    ; 76692268-6</t>
  </si>
  <si>
    <t>SERVEN CHILE SPA    ; 24737    ; 76692268-6</t>
  </si>
  <si>
    <t>SERVEN CHILE SPA    ; 24720    ; 76692268-6</t>
  </si>
  <si>
    <t>SERVEN CHILE SPA    ; 24721    ; 76692268-6</t>
  </si>
  <si>
    <t>SERVEN CHILE SPA    ; 24722    ; 76692268-6</t>
  </si>
  <si>
    <t>SERVEN CHILE SPA    ; 24723    ; 76692268-6</t>
  </si>
  <si>
    <t>SERVEN CHILE SPA    ; 24724    ; 76692268-6</t>
  </si>
  <si>
    <t>SERVEN CHILE SPA    ; 24725    ; 76692268-6</t>
  </si>
  <si>
    <t>SERVEN CHILE SPA    ; 24726    ; 76692268-6</t>
  </si>
  <si>
    <t>SERVEN CHILE SPA    ; 24727    ; 76692268-6</t>
  </si>
  <si>
    <t>SERVEN CHILE SPA    ; 24728    ; 76692268-6</t>
  </si>
  <si>
    <t>SERVEN CHILE SPA    ; 24729    ; 76692268-6</t>
  </si>
  <si>
    <t>SERVEN CHILE SPA    ; 24730    ; 76692268-6</t>
  </si>
  <si>
    <t>SERVEN CHILE SPA    ; 24731    ; 76692268-6</t>
  </si>
  <si>
    <t>SERVEN CHILE SPA    ; 24732    ; 76692268-6</t>
  </si>
  <si>
    <t>SERVEN CHILE SPA    ; 24733    ; 76692268-6</t>
  </si>
  <si>
    <t>SERVEN CHILE SPA    ; 24734    ; 76692268-6</t>
  </si>
  <si>
    <t>RENTAL Y TRANSPORTE GRAN NORTE SPA    ; 445    ; 77890523-K</t>
  </si>
  <si>
    <t>TRANSPORTES DE CARGA Y PASAJEROS LIBERTAD SPA    ; 729    ; 77798023-8</t>
  </si>
  <si>
    <t>CEBRA SpA    ; 6700    ; 76341354-3</t>
  </si>
  <si>
    <t>Mobile Security SpA    ; 90526    ; 76179256-3</t>
  </si>
  <si>
    <t>Mobile Security SpA    ; 90424    ; 76179256-3</t>
  </si>
  <si>
    <t>CONSTRUCTORA ISAIAS BIZAMA E.I.R.L.    ; 2044    ; 76076734-4</t>
  </si>
  <si>
    <t>COMERCIALIZADORA MABEL LOPEZ CASTRO E I R L    ; 999    ; 77137303-8</t>
  </si>
  <si>
    <t>DON GABRIEL SPA (29-08-2023)</t>
  </si>
  <si>
    <t>CIBER CLOUD SPA     ; 188001    ; 77167314-7</t>
  </si>
  <si>
    <t>PARAISO DEL SUR  S.A.    ; 147281    ; 76733230-0</t>
  </si>
  <si>
    <t>PARAISO DEL SUR  S.A.    ; 147278    ; 76733230-0</t>
  </si>
  <si>
    <t>PARAISO DEL SUR  S.A.    ; 147277    ; 76733230-0</t>
  </si>
  <si>
    <t>PARAISO DEL SUR  S.A.    ; 147056    ; 76733230-0</t>
  </si>
  <si>
    <t>PARAISO DEL SUR  S.A.    ; 146848    ; 76733230-0</t>
  </si>
  <si>
    <t>PARAISO DEL SUR  S.A.    ; 146464    ; 76733230-0</t>
  </si>
  <si>
    <t>PARAISO DEL SUR  S.A.    ; 146462    ; 76733230-0</t>
  </si>
  <si>
    <t>PARAISO DEL SUR  S.A.    ; 146461    ; 76733230-0</t>
  </si>
  <si>
    <t>DON GABRIEL SPA (13-07-2023)</t>
  </si>
  <si>
    <t>FS Roma SpA    ; 686    ; 77257466-5</t>
  </si>
  <si>
    <t>ASESORIAS Y PROYECCIONES EXPONENCIAL LTDA    ; 375    ; 76309339-5</t>
  </si>
  <si>
    <t>ASESORIAS Y PROYECCIONES EXPONENCIAL LTDA    ; 373    ; 76309339-5</t>
  </si>
  <si>
    <t>ASESORIAS Y PROYECCIONES EXPONENCIAL LTDA    ; 371    ; 76309339-5</t>
  </si>
  <si>
    <t>POLIGLOTA EMPRESAS SPA    ; 3561    ; 76806666-3</t>
  </si>
  <si>
    <t>POLIGLOTA EMPRESAS SPA    ; 3560    ; 76806666-3</t>
  </si>
  <si>
    <t>POLIGLOTA EMPRESAS SPA    ; 3557    ; 76806666-3</t>
  </si>
  <si>
    <t>POLIGLOTA EMPRESAS SPA    ; 3556    ; 76806666-3</t>
  </si>
  <si>
    <t>POLIGLOTA EMPRESAS SPA    ; 3554    ; 76806666-3</t>
  </si>
  <si>
    <t>SERVEN CHILE SPA    ; 24658    ; 76692268-6</t>
  </si>
  <si>
    <t>INVERSIONES HERNANDEZ SPA    ; 456    ; 77717679-K</t>
  </si>
  <si>
    <t>INVERSIONES HERNANDEZ SPA    ; 457    ; 77717679-K</t>
  </si>
  <si>
    <t>INVERSIONES HERNANDEZ SPA    ; 458    ; 77717679-K</t>
  </si>
  <si>
    <t>INVERSIONES HERNANDEZ SPA    ; 462    ; 77717679-K</t>
  </si>
  <si>
    <t>INVERSIONES HERNANDEZ SPA    ; 463    ; 77717679-K</t>
  </si>
  <si>
    <t>JANTECH SPA    ; 290    ; 77794423-1</t>
  </si>
  <si>
    <t>JANTECH SPA    ; 289    ; 77794423-1</t>
  </si>
  <si>
    <t>JANTECH SPA    ; 288    ; 77794423-1</t>
  </si>
  <si>
    <t>JANTECH SPA    ; 287    ; 77794423-1</t>
  </si>
  <si>
    <t>MARTIN ARTURO MOREIRA PONCE    ; 400    ; 3998818-6</t>
  </si>
  <si>
    <t>Inversiones NMR SpA    ; 498    ; 77622693-9</t>
  </si>
  <si>
    <t>INGENIERIA Y CONSTRUCCION RICARDO RODRIGUEZ Y CIA. LTDA    ; 1509800    ; 89912300-K</t>
  </si>
  <si>
    <t>PARAISO DEL SUR  S.A.    ; 146881    ; 76733230-0</t>
  </si>
  <si>
    <t>PARAISO DEL SUR  S.A.    ; 146871    ; 76733230-0</t>
  </si>
  <si>
    <t>PARAISO DEL SUR  S.A.    ; 146280    ; 76733230-0</t>
  </si>
  <si>
    <t>PARAISO DEL SUR  S.A.    ; 146274    ; 76733230-0</t>
  </si>
  <si>
    <t>PARAISO DEL SUR  S.A.    ; 146272    ; 76733230-0</t>
  </si>
  <si>
    <t>COMERCIALIZADORA MABEL LOPEZ CASTRO E I R L    ; 997    ; 77137303-8</t>
  </si>
  <si>
    <t>IBARSEG SPA    ; 388    ; 77736665-3</t>
  </si>
  <si>
    <t>BANQUETES MASITAS Y MAS SPA    ; 120    ; 77996189-3</t>
  </si>
  <si>
    <t>BANQUETES MASITAS Y MAS SPA    ; 123    ; 77996189-3</t>
  </si>
  <si>
    <t>BANQUETES MASITAS Y MAS SPA    ; 124    ; 77996189-3</t>
  </si>
  <si>
    <t>ASESORIAS Y PROYECCIONES EXPONENCIAL LTDA    ; 372    ; 76309339-5</t>
  </si>
  <si>
    <t>Transportes Rodrigo Antonio Fuenzalida Vergara E.I.R.L.    ; 647    ; 77698818-9</t>
  </si>
  <si>
    <t>Inversiones DPS SpA    ; 66    ; 78081405-5</t>
  </si>
  <si>
    <t>PRODUCTOS BIOLOGICOS PROBO SPA    ; 1514    ; 76518004-K</t>
  </si>
  <si>
    <t>SERVEN CHILE SPA    ; 24627    ; 76692268-6</t>
  </si>
  <si>
    <t>SERVEN CHILE SPA    ; 24628    ; 76692268-6</t>
  </si>
  <si>
    <t>SERVEN CHILE SPA    ; 24636    ; 76692268-6</t>
  </si>
  <si>
    <t>SERVEN CHILE SPA    ; 24637    ; 76692268-6</t>
  </si>
  <si>
    <t>SERVEN CHILE SPA    ; 24634    ; 76692268-6</t>
  </si>
  <si>
    <t>SERVEN CHILE SPA    ; 24612    ; 76692268-6</t>
  </si>
  <si>
    <t>TRANSPORTES ARCOS Y OSORNO LTDA.    ; 707    ; 77489884-0</t>
  </si>
  <si>
    <t>TRANSPORTES ARCOS Y OSORNO LTDA.    ; 703    ; 77489884-0</t>
  </si>
  <si>
    <t>TRANSPORTES ARCOS Y OSORNO LTDA.    ; 702    ; 77489884-0</t>
  </si>
  <si>
    <t>TRANSPORTES ARCOS Y OSORNO LTDA.    ; 701    ; 77489884-0</t>
  </si>
  <si>
    <t>CONSTRUCCIONES E&amp;L SPA    ; 164    ; 77440218-7</t>
  </si>
  <si>
    <t>COMERCIAL VYP LIMITADA    ; 12853    ; 76406548-4</t>
  </si>
  <si>
    <t>COMERCIAL VYP LIMITADA    ; 12850    ; 76406548-4</t>
  </si>
  <si>
    <t>COMERCIAL VYP LIMITADA    ; 12848    ; 76406548-4</t>
  </si>
  <si>
    <t>COMERCIAL VYP LIMITADA    ; 12847    ; 76406548-4</t>
  </si>
  <si>
    <t>COMERCIAL VYP LIMITADA    ; 12841    ; 76406548-4</t>
  </si>
  <si>
    <t>COMERCIAL VYP LIMITADA    ; 12837    ; 76406548-4</t>
  </si>
  <si>
    <t>COMERCIAL VYP LIMITADA    ; 12836    ; 76406548-4</t>
  </si>
  <si>
    <t>COMERCIAL VYP LIMITADA    ; 12835    ; 76406548-4</t>
  </si>
  <si>
    <t>COMERCIAL VYP LIMITADA    ; 12834    ; 76406548-4</t>
  </si>
  <si>
    <t>COMERCIAL VYP LIMITADA    ; 12833    ; 76406548-4</t>
  </si>
  <si>
    <t>COMERCIAL VYP LIMITADA    ; 12832    ; 76406548-4</t>
  </si>
  <si>
    <t>COMERCIAL VYP LIMITADA    ; 12828    ; 76406548-4</t>
  </si>
  <si>
    <t>COMERCIAL VYP LIMITADA    ; 12825    ; 76406548-4</t>
  </si>
  <si>
    <t>COMERCIAL VYP LIMITADA    ; 12824    ; 76406548-4</t>
  </si>
  <si>
    <t>COMERCIAL VYP LIMITADA    ; 12823    ; 76406548-4</t>
  </si>
  <si>
    <t>COMERCIAL VYP LIMITADA    ; 12822    ; 76406548-4</t>
  </si>
  <si>
    <t>COMERCIAL VYP LIMITADA    ; 12815    ; 76406548-4</t>
  </si>
  <si>
    <t>COMERCIAL VYP LIMITADA    ; 12813    ; 76406548-4</t>
  </si>
  <si>
    <t>COMERCIAL VYP LIMITADA    ; 12808    ; 76406548-4</t>
  </si>
  <si>
    <t>COMERCIAL VYP LIMITADA    ; 12796    ; 76406548-4</t>
  </si>
  <si>
    <t>COMERCIAL VYP LIMITADA    ; 12785    ; 76406548-4</t>
  </si>
  <si>
    <t>COMERCIAL VYP LIMITADA    ; 12784    ; 76406548-4</t>
  </si>
  <si>
    <t>COMERCIAL VYP LIMITADA    ; 12783    ; 76406548-4</t>
  </si>
  <si>
    <t>COMERCIAL VYP LIMITADA    ; 12772    ; 76406548-4</t>
  </si>
  <si>
    <t>COMERCIAL VYP LIMITADA    ; 12767    ; 76406548-4</t>
  </si>
  <si>
    <t>COMERCIAL VYP LIMITADA    ; 12753    ; 76406548-4</t>
  </si>
  <si>
    <t>COMERCIAL VYP LIMITADA    ; 12738    ; 76406548-4</t>
  </si>
  <si>
    <t>COMERCIAL VYP LIMITADA    ; 12737    ; 76406548-4</t>
  </si>
  <si>
    <t>COMERCIAL VYP LIMITADA    ; 12736    ; 76406548-4</t>
  </si>
  <si>
    <t>COMERCIAL VYP LIMITADA    ; 12726    ; 76406548-4</t>
  </si>
  <si>
    <t>COMERCIAL VYP LIMITADA    ; 12715    ; 76406548-4</t>
  </si>
  <si>
    <t>COMERCIAL VYP LIMITADA    ; 12673    ; 76406548-4</t>
  </si>
  <si>
    <t>COMERCIAL VYP LIMITADA    ; 12672    ; 76406548-4</t>
  </si>
  <si>
    <t>COMERCIAL VYP LIMITADA    ; 12641    ; 76406548-4</t>
  </si>
  <si>
    <t>COMERCIAL VYP LIMITADA    ; 12624    ; 76406548-4</t>
  </si>
  <si>
    <t>COMERCIAL VYP LIMITADA    ; 12617    ; 76406548-4</t>
  </si>
  <si>
    <t>COMERCIAL VYP LIMITADA    ; 12615    ; 76406548-4</t>
  </si>
  <si>
    <t>ELABORADORA Y ENVASADORA DE ALIMENTOS LTDA    ; 168740    ; 79684480-9</t>
  </si>
  <si>
    <t>Capelli Sport Chile SpA    ; 1502    ; 77097093-8</t>
  </si>
  <si>
    <t>Capelli Sport Chile SpA    ; 1499    ; 77097093-8</t>
  </si>
  <si>
    <t>Capelli Sport Chile SpA    ; 1479    ; 77097093-8</t>
  </si>
  <si>
    <t>Capelli Sport Chile SpA    ; 1478    ; 77097093-8</t>
  </si>
  <si>
    <t>Capelli Sport Chile SpA    ; 1477    ; 77097093-8</t>
  </si>
  <si>
    <t>Capelli Sport Chile SpA    ; 1476    ; 77097093-8</t>
  </si>
  <si>
    <t>Capelli Sport Chile SpA    ; 1462    ; 77097093-8</t>
  </si>
  <si>
    <t>Capelli Sport Chile SpA    ; 1461    ; 77097093-8</t>
  </si>
  <si>
    <t>Capelli Sport Chile SpA    ; 1460    ; 77097093-8</t>
  </si>
  <si>
    <t>Capelli Sport Chile SpA    ; 1440    ; 77097093-8</t>
  </si>
  <si>
    <t>Distribución y servicios campomanes spa    ; 72739    ; 99552380-9</t>
  </si>
  <si>
    <t>Distribución y servicios campomanes spa    ; 72757    ; 99552380-9</t>
  </si>
  <si>
    <t>Distribución y servicios campomanes spa    ; 72725    ; 99552380-9</t>
  </si>
  <si>
    <t>Distribución y servicios campomanes spa    ; 72690    ; 99552380-9</t>
  </si>
  <si>
    <t>Distribución y servicios campomanes spa    ; 72720    ; 99552380-9</t>
  </si>
  <si>
    <t>Distribución y servicios campomanes spa    ; 72733    ; 99552380-9</t>
  </si>
  <si>
    <t>Distribución y servicios campomanes spa    ; 72723    ; 99552380-9</t>
  </si>
  <si>
    <t>Distribución y servicios campomanes spa    ; 72756    ; 99552380-9</t>
  </si>
  <si>
    <t>Distribución y servicios campomanes spa    ; 72717    ; 99552380-9</t>
  </si>
  <si>
    <t>Distribución y servicios campomanes spa    ; 72729    ; 99552380-9</t>
  </si>
  <si>
    <t>Distribución y servicios campomanes spa    ; 72727    ; 99552380-9</t>
  </si>
  <si>
    <t>Distribución y servicios campomanes spa    ; 72734    ; 99552380-9</t>
  </si>
  <si>
    <t>Distribución y servicios campomanes spa    ; 72746    ; 99552380-9</t>
  </si>
  <si>
    <t>Distribución y servicios campomanes spa    ; 72726    ; 99552380-9</t>
  </si>
  <si>
    <t>Distribución y servicios campomanes spa    ; 72715    ; 99552380-9</t>
  </si>
  <si>
    <t>Distribución y servicios campomanes spa    ; 72692    ; 99552380-9</t>
  </si>
  <si>
    <t>Distribución y servicios campomanes spa    ; 72711    ; 99552380-9</t>
  </si>
  <si>
    <t>Distribución y servicios campomanes spa    ; 72712    ; 99552380-9</t>
  </si>
  <si>
    <t>Distribución y servicios campomanes spa    ; 72710    ; 99552380-9</t>
  </si>
  <si>
    <t>Distribución y servicios campomanes spa    ; 72623    ; 99552380-9</t>
  </si>
  <si>
    <t>Distribución y servicios campomanes spa    ; 72728    ; 99552380-9</t>
  </si>
  <si>
    <t>Distribución y servicios campomanes spa    ; 72598    ; 99552380-9</t>
  </si>
  <si>
    <t>Distribución y servicios campomanes spa    ; 72600    ; 99552380-9</t>
  </si>
  <si>
    <t>Distribución y servicios campomanes spa    ; 72612    ; 99552380-9</t>
  </si>
  <si>
    <t>Distribución y servicios campomanes spa    ; 72738    ; 99552380-9</t>
  </si>
  <si>
    <t>Distribución y servicios campomanes spa    ; 72731    ; 99552380-9</t>
  </si>
  <si>
    <t>SERVEN CHILE SPA    ; 24599    ; 76692268-6</t>
  </si>
  <si>
    <t>SERVEN CHILE SPA    ; 24600    ; 76692268-6</t>
  </si>
  <si>
    <t>SERVEN CHILE SPA    ; 24592    ; 76692268-6</t>
  </si>
  <si>
    <t>PRODUCTOS BIOLOGICOS PROBO SPA    ; 1516    ; 76518004-K</t>
  </si>
  <si>
    <t>PRODUCTOS BIOLOGICOS PROBO SPA    ; 1515    ; 76518004-K</t>
  </si>
  <si>
    <t>COMERCIALIZADORA MABEL LOPEZ CASTRO E I R L    ; 995    ; 77137303-8</t>
  </si>
  <si>
    <t>VNT (16VO FINANCIAMIENTO PATRONATO)</t>
  </si>
  <si>
    <t>VNT (TESORERIA VNT 08-11-24)</t>
  </si>
  <si>
    <t>VNT (TESORERIA VNT 08-01-26)</t>
  </si>
  <si>
    <t>VNT (BAYONA EXTENSION CAPITAL 26-02-2021)</t>
  </si>
  <si>
    <t>VNT (TESORERIA VNT 09-02-26)</t>
  </si>
  <si>
    <t>VNT (TESORERIA VNT 09-01-26)</t>
  </si>
  <si>
    <t>VNT (TESORERIA VNT 0.9-01-26)</t>
  </si>
  <si>
    <t>VNT (POSICION PATRONATO II PLUS 03-04-2023)</t>
  </si>
  <si>
    <t>VNT (TESORERIA VNT 19-01-26)</t>
  </si>
  <si>
    <t>DON GABRIEL SPA(11-12-2023)</t>
  </si>
  <si>
    <t>VNT (14VO FINANCIAMIENTO PATRONATO 13-02-2023)</t>
  </si>
  <si>
    <t>VNT (TESORERIA VNT 27-01-26)</t>
  </si>
  <si>
    <t>DON GABRIEL (14-03-2023)</t>
  </si>
  <si>
    <t>DON GABRIEL SPA (14-03-2024</t>
  </si>
  <si>
    <t>VNT (TESORERIA VNT 15-01-26)</t>
  </si>
  <si>
    <t>DON GABRIEL SPA (20-08-2024</t>
  </si>
  <si>
    <t>DON GABRIEL SPA(20-08-2024)</t>
  </si>
  <si>
    <t>VNT (TESORERIA VNT 16-01-26)</t>
  </si>
  <si>
    <t>VNT (TESORERIA VNT 15-01-26) 2</t>
  </si>
  <si>
    <t>DON GABRIEL SPA (15-02-2021)</t>
  </si>
  <si>
    <t>VNT (APORTE FI MULTIFAMILY INMOBILIARIO I 21-04-2023)</t>
  </si>
  <si>
    <t>DON GABRIEL (23-09-2022)</t>
  </si>
  <si>
    <t>VNT PATRONATO</t>
  </si>
  <si>
    <t>DON GABRIEL SPA (21-02-23)</t>
  </si>
  <si>
    <t>VNT (PAGO NOTA SAN LUIS BIS 20-02-2023)</t>
  </si>
  <si>
    <t>VNT (TESORERIA VNT 24-05-24)</t>
  </si>
  <si>
    <t>VNT (POSICION BODEGA II 03-04-2023)</t>
  </si>
  <si>
    <t>VNT (TESORERIA VNT 27-01-25)</t>
  </si>
  <si>
    <t>VNT (BAYONA EXTENSIION CAPITAL 26-02-2021)</t>
  </si>
  <si>
    <t>VNT (2DA CUOTA (ORIGEN CC13095UF) CERRO EL PLOMO 20-10-2022)</t>
  </si>
  <si>
    <t>VNT (NOTA VENDOR CONJUNTA / IMPORTACIONES Y SERVICIOS ADVANCED COMPUTING TECHNOLOGIES S.A. 14-04-2023)</t>
  </si>
  <si>
    <t>DON GABRIEL SPA (21-03-2023)</t>
  </si>
  <si>
    <t>VNT (VCTO SAN FRANCISCO III)</t>
  </si>
  <si>
    <t>VNT (6TO CAPITAL CALL-FIP ORIGEN 3400UF)</t>
  </si>
  <si>
    <t>VNT (TESORERIA VNT 22-09-25)</t>
  </si>
  <si>
    <t>VNT (5 DE ABRIL LOS AROMOS)</t>
  </si>
  <si>
    <t>CLASIFICACION_OBS</t>
  </si>
  <si>
    <t>ONGABR010726</t>
  </si>
  <si>
    <t>ONGABR020726</t>
  </si>
  <si>
    <t>ONGABR040626</t>
  </si>
  <si>
    <t>ONGABR050626</t>
  </si>
  <si>
    <t>ONGABR060726</t>
  </si>
  <si>
    <t>ONGABR070726</t>
  </si>
  <si>
    <t>ONGABR080626</t>
  </si>
  <si>
    <t>ONGABR170626</t>
  </si>
  <si>
    <t>ONGABR180626</t>
  </si>
  <si>
    <t>ONGABR230626</t>
  </si>
  <si>
    <t>ONGABR240626</t>
  </si>
  <si>
    <t>ONGABR250626</t>
  </si>
  <si>
    <t>ONVNT-010726</t>
  </si>
  <si>
    <t>ONVNT-070726</t>
  </si>
  <si>
    <t>VNT (TESORERIA VNT 09-03-26)</t>
  </si>
  <si>
    <t>ONVNT-080626</t>
  </si>
  <si>
    <t>ONVNT-150626</t>
  </si>
  <si>
    <t>ONVNT-160626</t>
  </si>
  <si>
    <t>ONVNT-170626</t>
  </si>
  <si>
    <t>ONVNT-180626</t>
  </si>
  <si>
    <t>ONVNT-240626</t>
  </si>
  <si>
    <t>ONVNT-300626</t>
  </si>
  <si>
    <t>ONGABR190626</t>
  </si>
  <si>
    <t>O*VNT-040626</t>
  </si>
  <si>
    <t>O*VNT-060726</t>
  </si>
  <si>
    <t>O*VNT-080626</t>
  </si>
  <si>
    <t>O*VNT-090626</t>
  </si>
  <si>
    <t>O*VNT-160626</t>
  </si>
  <si>
    <t>O*VNT-230626</t>
  </si>
  <si>
    <t>O*VNT-240626</t>
  </si>
  <si>
    <t>ONVNT-250626</t>
  </si>
  <si>
    <t>ONVNT-020726</t>
  </si>
  <si>
    <t>ONVNT-060726</t>
  </si>
  <si>
    <t>76639712-3</t>
  </si>
  <si>
    <t>76639712-3/0</t>
  </si>
  <si>
    <t>FIP VANTRUST LIQUIDEZ RECURRENTE</t>
  </si>
  <si>
    <t>ONGABR300626</t>
  </si>
  <si>
    <t>O*VNT-050626</t>
  </si>
  <si>
    <t>O*VNT-100626</t>
  </si>
  <si>
    <t>VNT (TESORERIA VNT 18-11-2024)</t>
  </si>
  <si>
    <t>O*VNT-260626</t>
  </si>
  <si>
    <t>ONGABR030826</t>
  </si>
  <si>
    <t>ONGABR050826</t>
  </si>
  <si>
    <t>ONGABR210726</t>
  </si>
  <si>
    <t>DON GABRIEL SPA (11-02-2023)</t>
  </si>
  <si>
    <t>ONVNT-050826</t>
  </si>
  <si>
    <t>ONVNT-270726</t>
  </si>
  <si>
    <t>VNT (TESORERIA VNT 18-03-26)</t>
  </si>
  <si>
    <t>ONGABR040826</t>
  </si>
  <si>
    <t>ONGABR060826</t>
  </si>
  <si>
    <t>ONGABR110826</t>
  </si>
  <si>
    <t>ONGABR130726</t>
  </si>
  <si>
    <t>DON GABRIEL (136-07-2023)</t>
  </si>
  <si>
    <t>ONGABR200726</t>
  </si>
  <si>
    <t>ONGABR220726</t>
  </si>
  <si>
    <t>ONGABR230726</t>
  </si>
  <si>
    <t>ONGABR240726</t>
  </si>
  <si>
    <t>ONGABR270726</t>
  </si>
  <si>
    <t>ONGABR290726</t>
  </si>
  <si>
    <t>ONGABR300726</t>
  </si>
  <si>
    <t>Revisar</t>
  </si>
  <si>
    <t>ONVNT-040826</t>
  </si>
  <si>
    <t>ONVNT-060826</t>
  </si>
  <si>
    <t>ONVNT-110826</t>
  </si>
  <si>
    <t>ONVNT-120826</t>
  </si>
  <si>
    <t>ONVNT-130726</t>
  </si>
  <si>
    <t>VNT (SANFRANCISCO IM )</t>
  </si>
  <si>
    <t>ONVNT-230726</t>
  </si>
  <si>
    <t>ONVNT-240726</t>
  </si>
  <si>
    <t>ONGABR100826</t>
  </si>
  <si>
    <t>ONGABR310726</t>
  </si>
  <si>
    <t>ONVNT-030826</t>
  </si>
  <si>
    <t>ONVNT-070826</t>
  </si>
  <si>
    <t>VNT (SANFRANCISCO (GARANTIA)</t>
  </si>
  <si>
    <t>ONGABR140726</t>
  </si>
  <si>
    <t>ONGABR070826</t>
  </si>
  <si>
    <t>ONVNT-100826</t>
  </si>
  <si>
    <t>O*VNT-030826</t>
  </si>
  <si>
    <t>O*VNT-060526</t>
  </si>
  <si>
    <t>O*VNT-120826</t>
  </si>
  <si>
    <t>76637326-7</t>
  </si>
  <si>
    <t>76637326-7/0</t>
  </si>
  <si>
    <t>FIP VANTRUST LIQUIDEZ FLEXIBLE DOLAR</t>
  </si>
  <si>
    <t>O*VNT-140726</t>
  </si>
  <si>
    <t>ONVNT-200726</t>
  </si>
  <si>
    <t>VNT (TESORERIA VNT 11-03-26)</t>
  </si>
  <si>
    <t>ONGABR120826</t>
  </si>
  <si>
    <t>O*VNT-210726</t>
  </si>
  <si>
    <t>O*VNT-270726</t>
  </si>
  <si>
    <t>VNT (08-01-2026 )</t>
  </si>
  <si>
    <t>fondos</t>
  </si>
  <si>
    <t>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</si>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</sst>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_ * #,##0.00_ ;_ * \-#,##0.0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22" fontId="0" fillId="0" borderId="0" xfId="0" applyNumberFormat="1"/>
    <xf numFmtId="14" fontId="0" fillId="0" borderId="0" xfId="0" applyNumberFormat="1"/>
    <xf numFmtId="41" fontId="0" fillId="0" borderId="0" xfId="1" applyFont="1"/>
    <xf numFmtId="2" fontId="0" fillId="0" borderId="0" xfId="0" applyNumberFormat="1"/>
    <xf numFmtId="164" fontId="0" fillId="0" borderId="0" xfId="1" applyNumberFormat="1" applyFont="1"/>
    <xf numFmtId="0" fontId="0" fillId="0" borderId="0" xfId="1" applyNumberFormat="1" applyFont="1"/>
    <xf numFmtId="10" fontId="0" fillId="0" borderId="0" xfId="2" applyNumberFormat="1" applyFont="1"/>
    <xf numFmtId="10" fontId="0" fillId="0" borderId="0" xfId="0" applyNumberFormat="1"/>
    <xf numFmtId="9" fontId="0" fillId="0" borderId="0" xfId="2" applyFont="1"/>
    <xf numFmtId="9" fontId="0" fillId="0" borderId="0" xfId="0" applyNumberFormat="1"/>
  </cellXfs>
  <cellStyles count="3">
    <cellStyle name="Millares [0]" xfId="1" builtinId="6"/>
    <cellStyle name="Normal" xfId="0" builtinId="0"/>
    <cellStyle name="Porcentaje" xfId="2" builtinId="5"/>
  </cellStyles>
  <dxfs count="20">
    <dxf>
      <numFmt numFmtId="0" formatCode="General"/>
    </dxf>
    <dxf>
      <numFmt numFmtId="0" formatCode="General"/>
    </dxf>
    <dxf>
      <numFmt numFmtId="164" formatCode="_ * #,##0.00_ ;_ * \-#,##0.0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yy\ h:mm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antrust-my.sharepoint.com/personal/mariaisabel_velasco_vantrust_cl/Documents/Escritorio/FF/Copia%20de%20QRY%20-%20Cartera%20Fondos%20Marzo%202026.xlsx" TargetMode="External"/><Relationship Id="rId1" Type="http://schemas.openxmlformats.org/officeDocument/2006/relationships/externalLinkPath" Target="FF/Copia%20de%20QRY%20-%20Cartera%20Fondos%20Marz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ulta1"/>
      <sheetName val="instrumento"/>
      <sheetName val="duracion"/>
      <sheetName val="Hoja1"/>
      <sheetName val="moneda"/>
      <sheetName val="Copia de QRY - Cartera Fondos M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C0CC97CF-6315-414C-9281-ADBEC050FEFF}" autoFormatId="16" applyNumberFormats="0" applyBorderFormats="0" applyFontFormats="0" applyPatternFormats="0" applyAlignmentFormats="0" applyWidthHeightFormats="0">
  <queryTableRefresh nextId="28">
    <queryTableFields count="20">
      <queryTableField id="1" name="NOMBRE" tableColumnId="1"/>
      <queryTableField id="2" name="IDENTIFICADOR" tableColumnId="2"/>
      <queryTableField id="3" name="NUM_CUENTA" tableColumnId="3"/>
      <queryTableField id="4" name="DSC_CUENTA" tableColumnId="4"/>
      <queryTableField id="5" name="NEMOTECNICO" tableColumnId="5"/>
      <queryTableField id="6" name="COD_MONEDA" tableColumnId="6"/>
      <queryTableField id="7" name="FECHA_EMISION" tableColumnId="7"/>
      <queryTableField id="8" name="FECHA_VENCIMIENTO" tableColumnId="8"/>
      <queryTableField id="9" name="ING_MONTO_COMPRA" tableColumnId="9"/>
      <queryTableField id="10" name="SUB CLASE" tableColumnId="10"/>
      <queryTableField id="11" name="FECHA CIERRE" tableColumnId="11"/>
      <queryTableField id="12" name="CANTIDAD" tableColumnId="12"/>
      <queryTableField id="13" name="VALOR_PRESENTE_MERCADO" tableColumnId="13"/>
      <queryTableField id="14" name="VALOR_PRESENTE_MERCADO_MON_CTA" tableColumnId="14"/>
      <queryTableField id="18" name="OBSERVACION" tableColumnId="16"/>
      <queryTableField id="26" name="CLASIFICACION_OBS" tableColumnId="20"/>
      <queryTableField id="19" name="DIAS AL VCTO" tableColumnId="17"/>
      <queryTableField id="20" name="FACTOR_360" tableColumnId="18"/>
      <queryTableField id="21" name="TRAMO" tableColumnId="19"/>
      <queryTableField id="15" name="VEHICULO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B6778-4867-4D40-9088-DC3D258F18FD}" name="Consulta1" displayName="Consulta1" ref="A1:T746" tableType="queryTable" totalsRowShown="0">
  <autoFilter ref="A1:T746" xr:uid="{38DB6778-4867-4D40-9088-DC3D258F18FD}"/>
  <tableColumns count="20">
    <tableColumn id="1" xr3:uid="{0C151DA6-A1FA-4729-BDC6-D90B452855CB}" uniqueName="1" name="NOMBRE" queryTableFieldId="1" dataDxfId="19"/>
    <tableColumn id="2" xr3:uid="{02E26B61-7A67-4E6D-BEF3-5DFE9C7001B3}" uniqueName="2" name="IDENTIFICADOR" queryTableFieldId="2" dataDxfId="18"/>
    <tableColumn id="3" xr3:uid="{B27598FE-3414-46DF-A81D-B01D7EDBE18C}" uniqueName="3" name="NUM_CUENTA" queryTableFieldId="3" dataDxfId="17"/>
    <tableColumn id="4" xr3:uid="{E1B322A4-AF28-4BCA-89E2-187ED9AFB960}" uniqueName="4" name="DSC_CUENTA" queryTableFieldId="4" dataDxfId="16"/>
    <tableColumn id="5" xr3:uid="{ED66397E-3FFB-4B64-AE09-6AD155FADD9A}" uniqueName="5" name="NEMOTECNICO" queryTableFieldId="5" dataDxfId="15"/>
    <tableColumn id="6" xr3:uid="{D6F6AB6F-E846-4036-A49B-10E793BFA8A6}" uniqueName="6" name="COD_MONEDA" queryTableFieldId="6" dataDxfId="14"/>
    <tableColumn id="7" xr3:uid="{025B1B6E-E628-424D-B813-FDC033423BCF}" uniqueName="7" name="FECHA_EMISION" queryTableFieldId="7" dataDxfId="13"/>
    <tableColumn id="8" xr3:uid="{7D612FAF-D14B-41A8-94FA-6C91C58E1481}" uniqueName="8" name="FECHA_VENCIMIENTO" queryTableFieldId="8" dataDxfId="12"/>
    <tableColumn id="9" xr3:uid="{46A6F2AE-E755-47F7-BFE9-A091015E6AD5}" uniqueName="9" name="ING_MONTO_COMPRA" queryTableFieldId="9" dataDxfId="11" dataCellStyle="Millares [0]"/>
    <tableColumn id="10" xr3:uid="{E9DA7B4D-05B1-4CA7-8AD4-E58E2A05637F}" uniqueName="10" name="SUB CLASE" queryTableFieldId="10" dataDxfId="10"/>
    <tableColumn id="11" xr3:uid="{FF75D7D2-3D80-4ACB-BA63-7C65E1CF1C0A}" uniqueName="11" name="FECHA CIERRE" queryTableFieldId="11" dataDxfId="9"/>
    <tableColumn id="12" xr3:uid="{6C5F3E1D-4B5A-4A67-8BBA-49F37FC8E7F0}" uniqueName="12" name="CANTIDAD" queryTableFieldId="12" dataDxfId="8" dataCellStyle="Millares [0]"/>
    <tableColumn id="13" xr3:uid="{941AA256-0368-48EE-900E-8A1DE5A9E41D}" uniqueName="13" name="VALOR_PRESENTE_MERCADO" queryTableFieldId="13" dataDxfId="7" dataCellStyle="Millares [0]"/>
    <tableColumn id="14" xr3:uid="{D6D57E64-31D4-43A2-BF7B-4E19C33990E6}" uniqueName="14" name="VALOR_PRESENTE_MERCADO_MON_CTA" queryTableFieldId="14" dataDxfId="6" dataCellStyle="Millares [0]"/>
    <tableColumn id="16" xr3:uid="{DF017690-DF00-4F10-A088-91C49E31B9C8}" uniqueName="16" name="OBSERVACION" queryTableFieldId="18" dataDxfId="5" dataCellStyle="Millares [0]"/>
    <tableColumn id="20" xr3:uid="{C3074C98-6A75-497E-AB12-62D5210F5F54}" uniqueName="20" name="CLASIFICACION_OBS" queryTableFieldId="26" dataDxfId="4"/>
    <tableColumn id="17" xr3:uid="{52CAA928-17D8-4E1F-A751-F9DF3995535B}" uniqueName="17" name="DIAS AL VCTO" queryTableFieldId="19" dataDxfId="3" dataCellStyle="Millares [0]"/>
    <tableColumn id="18" xr3:uid="{6E70F582-B8A0-402B-B211-AD41FD46FBCC}" uniqueName="18" name="FACTOR_360" queryTableFieldId="20" dataDxfId="2" dataCellStyle="Millares [0]"/>
    <tableColumn id="19" xr3:uid="{675438B8-C765-4520-B4AB-C42C2FA0354D}" uniqueName="19" name="TRAMO" queryTableFieldId="21" dataDxfId="1" dataCellStyle="Millares [0]"/>
    <tableColumn id="15" xr3:uid="{448B18AB-522A-4542-9D7C-C702E5D65013}" uniqueName="15" name="VEHICULO" queryTableFieldId="15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3423-0714-4E73-9377-425E4BF2296A}">
  <dimension ref="A1:AB746"/>
  <sheetViews>
    <sheetView showGridLines="0" tabSelected="1" workbookViewId="0">
      <selection sqref="A1:T1"/>
    </sheetView>
  </sheetViews>
  <sheetFormatPr baseColWidth="10" defaultColWidth="11.42578125" defaultRowHeight="15" x14ac:dyDescent="0.25"/>
  <cols>
    <col min="1" max="1" width="27" bestFit="1" customWidth="1"/>
    <col min="2" max="2" width="17.7109375" bestFit="1" customWidth="1"/>
    <col min="3" max="3" width="15.85546875" bestFit="1" customWidth="1"/>
    <col min="4" max="4" width="36.7109375" bestFit="1" customWidth="1"/>
    <col min="5" max="5" width="17.28515625" bestFit="1" customWidth="1"/>
    <col min="6" max="6" width="16.5703125" bestFit="1" customWidth="1"/>
    <col min="7" max="7" width="18.140625" style="2" bestFit="1" customWidth="1"/>
    <col min="8" max="8" width="23.28515625" style="2" bestFit="1" customWidth="1"/>
    <col min="9" max="9" width="24.42578125" style="3" bestFit="1" customWidth="1"/>
    <col min="10" max="10" width="13.140625" bestFit="1" customWidth="1"/>
    <col min="11" max="11" width="16.7109375" bestFit="1" customWidth="1"/>
    <col min="12" max="12" width="13.7109375" style="3" bestFit="1" customWidth="1"/>
    <col min="13" max="13" width="31.140625" style="3" bestFit="1" customWidth="1"/>
    <col min="14" max="14" width="41.140625" style="3" bestFit="1" customWidth="1"/>
    <col min="15" max="15" width="81.140625" bestFit="1" customWidth="1"/>
    <col min="16" max="16" width="22.28515625" bestFit="1" customWidth="1"/>
    <col min="17" max="17" width="15.5703125" style="5" bestFit="1" customWidth="1"/>
    <col min="18" max="18" width="15.28515625" bestFit="1" customWidth="1"/>
    <col min="19" max="19" width="17" bestFit="1" customWidth="1"/>
    <col min="20" max="20" width="18.7109375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s="2" t="s">
        <v>7</v>
      </c>
      <c r="I1" s="3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136</v>
      </c>
      <c r="P1" t="s">
        <v>1288</v>
      </c>
      <c r="Q1" t="s">
        <v>137</v>
      </c>
      <c r="R1" s="5" t="s">
        <v>138</v>
      </c>
      <c r="S1" t="s">
        <v>139</v>
      </c>
      <c r="T1" t="s">
        <v>14</v>
      </c>
      <c r="V1" t="s">
        <v>1379</v>
      </c>
      <c r="Z1" t="s">
        <v>1380</v>
      </c>
    </row>
    <row r="2" spans="1:28" x14ac:dyDescent="0.25">
      <c r="A2" t="s">
        <v>15</v>
      </c>
      <c r="B2" t="s">
        <v>16</v>
      </c>
      <c r="C2" t="s">
        <v>17</v>
      </c>
      <c r="D2" t="s">
        <v>18</v>
      </c>
      <c r="E2" t="s">
        <v>30</v>
      </c>
      <c r="F2" t="s">
        <v>19</v>
      </c>
      <c r="G2" s="2">
        <v>46076</v>
      </c>
      <c r="H2" s="2">
        <v>46174</v>
      </c>
      <c r="I2" s="3">
        <v>8048008</v>
      </c>
      <c r="J2" t="s">
        <v>20</v>
      </c>
      <c r="K2" s="1">
        <v>46142</v>
      </c>
      <c r="L2" s="3">
        <v>8130822</v>
      </c>
      <c r="M2" s="3">
        <v>8076547.6001270004</v>
      </c>
      <c r="N2" s="3">
        <v>8076547.6001270004</v>
      </c>
      <c r="O2" s="6" t="s">
        <v>452</v>
      </c>
      <c r="P2" t="s">
        <v>196</v>
      </c>
      <c r="Q2" s="3">
        <v>32</v>
      </c>
      <c r="R2" s="5">
        <v>8.8887999999999995E-2</v>
      </c>
      <c r="S2" s="6" t="s">
        <v>145</v>
      </c>
      <c r="T2" t="s">
        <v>21</v>
      </c>
      <c r="V2" t="str" cm="1">
        <f t="array" ref="V2:V25">_xlfn.UNIQUE([1]!Consulta1[DSC_CUENTA])</f>
        <v>FIP VANTRUST LIQUIDEZ ACTIVA</v>
      </c>
      <c r="Z2">
        <f>SUMIF(D:D,V2,M:M)</f>
        <v>234765562.714095</v>
      </c>
      <c r="AB2" t="s">
        <v>18</v>
      </c>
    </row>
    <row r="3" spans="1:28" x14ac:dyDescent="0.25">
      <c r="A3" t="s">
        <v>15</v>
      </c>
      <c r="B3" t="s">
        <v>16</v>
      </c>
      <c r="C3" t="s">
        <v>17</v>
      </c>
      <c r="D3" t="s">
        <v>18</v>
      </c>
      <c r="E3" t="s">
        <v>1330</v>
      </c>
      <c r="F3" t="s">
        <v>19</v>
      </c>
      <c r="G3" s="2">
        <v>46136</v>
      </c>
      <c r="H3" s="2">
        <v>46237</v>
      </c>
      <c r="I3" s="3">
        <v>2212967</v>
      </c>
      <c r="J3" t="s">
        <v>20</v>
      </c>
      <c r="K3" s="1">
        <v>46142</v>
      </c>
      <c r="L3" s="3">
        <v>2259904</v>
      </c>
      <c r="M3" s="3">
        <v>2215700.7696460001</v>
      </c>
      <c r="N3" s="3">
        <v>2215700.7696460001</v>
      </c>
      <c r="O3" s="6" t="s">
        <v>521</v>
      </c>
      <c r="P3" t="s">
        <v>196</v>
      </c>
      <c r="Q3" s="3">
        <v>95</v>
      </c>
      <c r="R3" s="5">
        <v>0.26388800000000001</v>
      </c>
      <c r="S3" s="6" t="s">
        <v>141</v>
      </c>
      <c r="T3" t="s">
        <v>21</v>
      </c>
      <c r="V3" t="str">
        <v>FIP VANTRUST LIQUIDEZ ALTO APORTE</v>
      </c>
      <c r="Z3">
        <f t="shared" ref="Z3:Z25" si="0">SUMIF(D:D,V3,M:M)</f>
        <v>24663150258.556858</v>
      </c>
      <c r="AB3" t="s">
        <v>35</v>
      </c>
    </row>
    <row r="4" spans="1:28" x14ac:dyDescent="0.25">
      <c r="A4" t="s">
        <v>15</v>
      </c>
      <c r="B4" t="s">
        <v>16</v>
      </c>
      <c r="C4" t="s">
        <v>17</v>
      </c>
      <c r="D4" t="s">
        <v>18</v>
      </c>
      <c r="E4" t="s">
        <v>1331</v>
      </c>
      <c r="F4" t="s">
        <v>19</v>
      </c>
      <c r="G4" s="2">
        <v>46140</v>
      </c>
      <c r="H4" s="2">
        <v>46239</v>
      </c>
      <c r="I4" s="3">
        <v>12402460</v>
      </c>
      <c r="J4" t="s">
        <v>20</v>
      </c>
      <c r="K4" s="1">
        <v>46142</v>
      </c>
      <c r="L4" s="3">
        <v>12660307</v>
      </c>
      <c r="M4" s="3">
        <v>12407564.902927</v>
      </c>
      <c r="N4" s="3">
        <v>12407564.902927</v>
      </c>
      <c r="O4" s="6" t="s">
        <v>248</v>
      </c>
      <c r="P4" t="s">
        <v>196</v>
      </c>
      <c r="Q4" s="3">
        <v>97</v>
      </c>
      <c r="R4" s="5">
        <v>0.26944400000000002</v>
      </c>
      <c r="S4" s="6" t="s">
        <v>141</v>
      </c>
      <c r="T4" t="s">
        <v>21</v>
      </c>
      <c r="V4" t="str">
        <v>FIP VANTRUST LIQUIDEZ ALTO CAPITAL</v>
      </c>
      <c r="Z4">
        <f t="shared" si="0"/>
        <v>1460622638.0780549</v>
      </c>
      <c r="AB4" t="s">
        <v>56</v>
      </c>
    </row>
    <row r="5" spans="1:28" x14ac:dyDescent="0.25">
      <c r="A5" t="s">
        <v>15</v>
      </c>
      <c r="B5" t="s">
        <v>16</v>
      </c>
      <c r="C5" t="s">
        <v>17</v>
      </c>
      <c r="D5" t="s">
        <v>18</v>
      </c>
      <c r="E5" t="s">
        <v>1331</v>
      </c>
      <c r="F5" t="s">
        <v>19</v>
      </c>
      <c r="G5" s="2">
        <v>46140</v>
      </c>
      <c r="H5" s="2">
        <v>46239</v>
      </c>
      <c r="I5" s="3">
        <v>4124286</v>
      </c>
      <c r="J5" t="s">
        <v>20</v>
      </c>
      <c r="K5" s="1">
        <v>46142</v>
      </c>
      <c r="L5" s="3">
        <v>4210030</v>
      </c>
      <c r="M5" s="3">
        <v>4125983.7117909999</v>
      </c>
      <c r="N5" s="3">
        <v>4125983.7117909999</v>
      </c>
      <c r="O5" s="6" t="s">
        <v>248</v>
      </c>
      <c r="P5" t="s">
        <v>196</v>
      </c>
      <c r="Q5" s="3">
        <v>97</v>
      </c>
      <c r="R5" s="5">
        <v>0.26944400000000002</v>
      </c>
      <c r="S5" s="6" t="s">
        <v>141</v>
      </c>
      <c r="T5" t="s">
        <v>21</v>
      </c>
      <c r="V5" t="str">
        <v>FIP VANTRUST LIQUIDEZ ALTO MONTO</v>
      </c>
      <c r="Z5">
        <f t="shared" si="0"/>
        <v>4629623838.6303663</v>
      </c>
      <c r="AB5" t="s">
        <v>60</v>
      </c>
    </row>
    <row r="6" spans="1:28" x14ac:dyDescent="0.25">
      <c r="A6" t="s">
        <v>15</v>
      </c>
      <c r="B6" t="s">
        <v>16</v>
      </c>
      <c r="C6" t="s">
        <v>17</v>
      </c>
      <c r="D6" t="s">
        <v>18</v>
      </c>
      <c r="E6" t="s">
        <v>23</v>
      </c>
      <c r="F6" t="s">
        <v>19</v>
      </c>
      <c r="G6" s="2">
        <v>46049</v>
      </c>
      <c r="H6" s="2">
        <v>46149</v>
      </c>
      <c r="I6" s="3">
        <v>7283208</v>
      </c>
      <c r="J6" t="s">
        <v>20</v>
      </c>
      <c r="K6" s="1">
        <v>46142</v>
      </c>
      <c r="L6" s="3">
        <v>7319915</v>
      </c>
      <c r="M6" s="3">
        <v>7309170.5193370003</v>
      </c>
      <c r="N6" s="3">
        <v>7309170.5193370003</v>
      </c>
      <c r="O6" s="6" t="s">
        <v>521</v>
      </c>
      <c r="P6" t="s">
        <v>196</v>
      </c>
      <c r="Q6" s="3">
        <v>7</v>
      </c>
      <c r="R6" s="5">
        <v>1.9443999999999999E-2</v>
      </c>
      <c r="S6" s="6" t="s">
        <v>143</v>
      </c>
      <c r="T6" t="s">
        <v>21</v>
      </c>
      <c r="V6" t="str">
        <v>FIP VANTRUST LIQUIDEZ CAJA</v>
      </c>
      <c r="Z6">
        <f t="shared" si="0"/>
        <v>1024924955.2621619</v>
      </c>
      <c r="AB6" t="s">
        <v>65</v>
      </c>
    </row>
    <row r="7" spans="1:28" x14ac:dyDescent="0.25">
      <c r="A7" t="s">
        <v>15</v>
      </c>
      <c r="B7" t="s">
        <v>16</v>
      </c>
      <c r="C7" t="s">
        <v>17</v>
      </c>
      <c r="D7" t="s">
        <v>18</v>
      </c>
      <c r="E7" t="s">
        <v>24</v>
      </c>
      <c r="F7" t="s">
        <v>19</v>
      </c>
      <c r="G7" s="2">
        <v>46051</v>
      </c>
      <c r="H7" s="2">
        <v>46155</v>
      </c>
      <c r="I7" s="3">
        <v>9370669</v>
      </c>
      <c r="J7" t="s">
        <v>20</v>
      </c>
      <c r="K7" s="1">
        <v>46142</v>
      </c>
      <c r="L7" s="3">
        <v>9429704</v>
      </c>
      <c r="M7" s="3">
        <v>9404030.995383</v>
      </c>
      <c r="N7" s="3">
        <v>9404030.995383</v>
      </c>
      <c r="O7" s="6" t="s">
        <v>452</v>
      </c>
      <c r="P7" t="s">
        <v>196</v>
      </c>
      <c r="Q7" s="3">
        <v>13</v>
      </c>
      <c r="R7" s="5">
        <v>3.6110999999999997E-2</v>
      </c>
      <c r="S7" s="6" t="s">
        <v>143</v>
      </c>
      <c r="T7" t="s">
        <v>21</v>
      </c>
      <c r="V7" t="str">
        <v>FIP VANTRUST LIQUIDEZ CONTINUA</v>
      </c>
      <c r="Z7">
        <f t="shared" si="0"/>
        <v>2155473671.2326789</v>
      </c>
      <c r="AB7" t="s">
        <v>69</v>
      </c>
    </row>
    <row r="8" spans="1:28" x14ac:dyDescent="0.25">
      <c r="A8" t="s">
        <v>15</v>
      </c>
      <c r="B8" t="s">
        <v>16</v>
      </c>
      <c r="C8" t="s">
        <v>17</v>
      </c>
      <c r="D8" t="s">
        <v>18</v>
      </c>
      <c r="E8" t="s">
        <v>24</v>
      </c>
      <c r="F8" t="s">
        <v>19</v>
      </c>
      <c r="G8" s="2">
        <v>46051</v>
      </c>
      <c r="H8" s="2">
        <v>46155</v>
      </c>
      <c r="I8" s="3">
        <v>68677685</v>
      </c>
      <c r="J8" t="s">
        <v>20</v>
      </c>
      <c r="K8" s="1">
        <v>46142</v>
      </c>
      <c r="L8" s="3">
        <v>69110354</v>
      </c>
      <c r="M8" s="3">
        <v>68922196.403817996</v>
      </c>
      <c r="N8" s="3">
        <v>68922196.403817996</v>
      </c>
      <c r="O8" s="6" t="s">
        <v>452</v>
      </c>
      <c r="P8" t="s">
        <v>196</v>
      </c>
      <c r="Q8" s="3">
        <v>13</v>
      </c>
      <c r="R8" s="5">
        <v>3.6110999999999997E-2</v>
      </c>
      <c r="S8" s="6" t="s">
        <v>143</v>
      </c>
      <c r="T8" t="s">
        <v>21</v>
      </c>
      <c r="V8" t="str">
        <v>FIP VANTRUST LIQUIDEZ CORRIENTE</v>
      </c>
      <c r="Z8">
        <f t="shared" si="0"/>
        <v>807169454.65037405</v>
      </c>
      <c r="AB8" t="s">
        <v>75</v>
      </c>
    </row>
    <row r="9" spans="1:28" x14ac:dyDescent="0.25">
      <c r="A9" t="s">
        <v>15</v>
      </c>
      <c r="B9" t="s">
        <v>16</v>
      </c>
      <c r="C9" t="s">
        <v>17</v>
      </c>
      <c r="D9" t="s">
        <v>18</v>
      </c>
      <c r="E9" t="s">
        <v>25</v>
      </c>
      <c r="F9" t="s">
        <v>19</v>
      </c>
      <c r="G9" s="2">
        <v>46051</v>
      </c>
      <c r="H9" s="2">
        <v>46156</v>
      </c>
      <c r="I9" s="3">
        <v>1559718</v>
      </c>
      <c r="J9" t="s">
        <v>20</v>
      </c>
      <c r="K9" s="1">
        <v>46142</v>
      </c>
      <c r="L9" s="3">
        <v>1569872</v>
      </c>
      <c r="M9" s="3">
        <v>1565270.105889</v>
      </c>
      <c r="N9" s="3">
        <v>1565270.105889</v>
      </c>
      <c r="O9" s="6" t="s">
        <v>452</v>
      </c>
      <c r="P9" t="s">
        <v>196</v>
      </c>
      <c r="Q9" s="3">
        <v>14</v>
      </c>
      <c r="R9" s="5">
        <v>3.8887999999999999E-2</v>
      </c>
      <c r="S9" s="6" t="s">
        <v>143</v>
      </c>
      <c r="T9" t="s">
        <v>21</v>
      </c>
      <c r="V9" t="str">
        <v>FIP VANTRUST LIQUIDEZ CORTO PLAZO</v>
      </c>
      <c r="Z9">
        <f t="shared" si="0"/>
        <v>528584777.37070006</v>
      </c>
      <c r="AB9" t="s">
        <v>79</v>
      </c>
    </row>
    <row r="10" spans="1:28" x14ac:dyDescent="0.25">
      <c r="A10" t="s">
        <v>15</v>
      </c>
      <c r="B10" t="s">
        <v>16</v>
      </c>
      <c r="C10" t="s">
        <v>17</v>
      </c>
      <c r="D10" t="s">
        <v>18</v>
      </c>
      <c r="E10" t="s">
        <v>26</v>
      </c>
      <c r="F10" t="s">
        <v>19</v>
      </c>
      <c r="G10" s="2">
        <v>46052</v>
      </c>
      <c r="H10" s="2">
        <v>46157</v>
      </c>
      <c r="I10" s="3">
        <v>15375410</v>
      </c>
      <c r="J10" t="s">
        <v>20</v>
      </c>
      <c r="K10" s="1">
        <v>46142</v>
      </c>
      <c r="L10" s="3">
        <v>15478733</v>
      </c>
      <c r="M10" s="3">
        <v>15430128.096496001</v>
      </c>
      <c r="N10" s="3">
        <v>15430128.096496001</v>
      </c>
      <c r="O10" s="6" t="s">
        <v>521</v>
      </c>
      <c r="P10" t="s">
        <v>196</v>
      </c>
      <c r="Q10" s="3">
        <v>15</v>
      </c>
      <c r="R10" s="5">
        <v>4.1666000000000002E-2</v>
      </c>
      <c r="S10" s="6" t="s">
        <v>143</v>
      </c>
      <c r="T10" t="s">
        <v>21</v>
      </c>
      <c r="V10" t="str">
        <v>FIP VANTRUST LIQUIDEZ DISPONIBLE I</v>
      </c>
      <c r="Z10">
        <f t="shared" si="0"/>
        <v>1107887168.2839136</v>
      </c>
      <c r="AB10" t="s">
        <v>82</v>
      </c>
    </row>
    <row r="11" spans="1:28" x14ac:dyDescent="0.25">
      <c r="A11" t="s">
        <v>15</v>
      </c>
      <c r="B11" t="s">
        <v>16</v>
      </c>
      <c r="C11" t="s">
        <v>17</v>
      </c>
      <c r="D11" t="s">
        <v>18</v>
      </c>
      <c r="E11" t="s">
        <v>27</v>
      </c>
      <c r="F11" t="s">
        <v>19</v>
      </c>
      <c r="G11" s="2">
        <v>46052</v>
      </c>
      <c r="H11" s="2">
        <v>46160</v>
      </c>
      <c r="I11" s="3">
        <v>4411249</v>
      </c>
      <c r="J11" t="s">
        <v>20</v>
      </c>
      <c r="K11" s="1">
        <v>46142</v>
      </c>
      <c r="L11" s="3">
        <v>4443672</v>
      </c>
      <c r="M11" s="3">
        <v>4426938.1737029999</v>
      </c>
      <c r="N11" s="3">
        <v>4426938.1737029999</v>
      </c>
      <c r="O11" s="6" t="s">
        <v>452</v>
      </c>
      <c r="P11" t="s">
        <v>196</v>
      </c>
      <c r="Q11" s="3">
        <v>18</v>
      </c>
      <c r="R11" s="5">
        <v>0.05</v>
      </c>
      <c r="S11" s="6" t="s">
        <v>143</v>
      </c>
      <c r="T11" t="s">
        <v>21</v>
      </c>
      <c r="V11" t="str">
        <v>FIP VANTRUST LIQUIDEZ DOLAR</v>
      </c>
      <c r="Z11">
        <f t="shared" si="0"/>
        <v>2645505.7638750002</v>
      </c>
      <c r="AB11" t="s">
        <v>86</v>
      </c>
    </row>
    <row r="12" spans="1:28" x14ac:dyDescent="0.25">
      <c r="A12" t="s">
        <v>15</v>
      </c>
      <c r="B12" t="s">
        <v>16</v>
      </c>
      <c r="C12" t="s">
        <v>17</v>
      </c>
      <c r="D12" t="s">
        <v>18</v>
      </c>
      <c r="E12" t="s">
        <v>1332</v>
      </c>
      <c r="F12" t="s">
        <v>19</v>
      </c>
      <c r="G12" s="2">
        <v>46125</v>
      </c>
      <c r="H12" s="2">
        <v>46224</v>
      </c>
      <c r="I12" s="3">
        <v>12218875</v>
      </c>
      <c r="J12" t="s">
        <v>20</v>
      </c>
      <c r="K12" s="1">
        <v>46142</v>
      </c>
      <c r="L12" s="3">
        <v>12472905</v>
      </c>
      <c r="M12" s="3">
        <v>12261757.535243001</v>
      </c>
      <c r="N12" s="3">
        <v>12261757.535243001</v>
      </c>
      <c r="O12" s="6" t="s">
        <v>373</v>
      </c>
      <c r="P12" t="s">
        <v>196</v>
      </c>
      <c r="Q12" s="3">
        <v>82</v>
      </c>
      <c r="R12" s="5">
        <v>0.22777700000000001</v>
      </c>
      <c r="S12" s="6" t="s">
        <v>145</v>
      </c>
      <c r="T12" t="s">
        <v>21</v>
      </c>
      <c r="V12" t="str">
        <v>FIP VANTRUST LIQUIDEZ DOLAR CAJA</v>
      </c>
      <c r="Z12">
        <f t="shared" si="0"/>
        <v>2676732.3368509999</v>
      </c>
      <c r="AB12" t="s">
        <v>96</v>
      </c>
    </row>
    <row r="13" spans="1:28" x14ac:dyDescent="0.25">
      <c r="A13" t="s">
        <v>15</v>
      </c>
      <c r="B13" t="s">
        <v>16</v>
      </c>
      <c r="C13" t="s">
        <v>17</v>
      </c>
      <c r="D13" t="s">
        <v>18</v>
      </c>
      <c r="E13" t="s">
        <v>28</v>
      </c>
      <c r="F13" t="s">
        <v>19</v>
      </c>
      <c r="G13" s="2">
        <v>46062</v>
      </c>
      <c r="H13" s="2">
        <v>46164</v>
      </c>
      <c r="I13" s="3">
        <v>33594282</v>
      </c>
      <c r="J13" t="s">
        <v>20</v>
      </c>
      <c r="K13" s="1">
        <v>46142</v>
      </c>
      <c r="L13" s="3">
        <v>33869419</v>
      </c>
      <c r="M13" s="3">
        <v>33713661.882105</v>
      </c>
      <c r="N13" s="3">
        <v>33713661.882105</v>
      </c>
      <c r="O13" s="6" t="s">
        <v>1333</v>
      </c>
      <c r="P13" t="s">
        <v>196</v>
      </c>
      <c r="Q13" s="3">
        <v>22</v>
      </c>
      <c r="R13" s="5">
        <v>6.1110999999999999E-2</v>
      </c>
      <c r="S13" s="6" t="s">
        <v>143</v>
      </c>
      <c r="T13" t="s">
        <v>21</v>
      </c>
      <c r="V13" t="str">
        <v>FIP VANTRUST LIQUIDEZ EFECTIVO</v>
      </c>
      <c r="Z13">
        <f t="shared" si="0"/>
        <v>1064693387.718603</v>
      </c>
      <c r="AB13" t="s">
        <v>99</v>
      </c>
    </row>
    <row r="14" spans="1:28" x14ac:dyDescent="0.25">
      <c r="A14" t="s">
        <v>15</v>
      </c>
      <c r="B14" t="s">
        <v>16</v>
      </c>
      <c r="C14" t="s">
        <v>17</v>
      </c>
      <c r="D14" t="s">
        <v>18</v>
      </c>
      <c r="E14" t="s">
        <v>40</v>
      </c>
      <c r="F14" t="s">
        <v>19</v>
      </c>
      <c r="G14" s="2">
        <v>46063</v>
      </c>
      <c r="H14" s="2">
        <v>46168</v>
      </c>
      <c r="I14" s="3">
        <v>7490360</v>
      </c>
      <c r="J14" t="s">
        <v>20</v>
      </c>
      <c r="K14" s="1">
        <v>46142</v>
      </c>
      <c r="L14" s="3">
        <v>7546987</v>
      </c>
      <c r="M14" s="3">
        <v>7506004.2169749998</v>
      </c>
      <c r="N14" s="3">
        <v>7506004.2169749998</v>
      </c>
      <c r="O14" s="6" t="s">
        <v>142</v>
      </c>
      <c r="P14" t="s">
        <v>196</v>
      </c>
      <c r="Q14" s="3">
        <v>26</v>
      </c>
      <c r="R14" s="5">
        <v>7.2221999999999995E-2</v>
      </c>
      <c r="S14" s="6" t="s">
        <v>143</v>
      </c>
      <c r="T14" t="s">
        <v>21</v>
      </c>
      <c r="V14" t="str">
        <v>FIP VANTRUST LIQUIDEZ FLEXIBLE</v>
      </c>
      <c r="Z14">
        <f t="shared" si="0"/>
        <v>678346309.44149303</v>
      </c>
      <c r="AB14" t="s">
        <v>102</v>
      </c>
    </row>
    <row r="15" spans="1:28" x14ac:dyDescent="0.25">
      <c r="A15" t="s">
        <v>15</v>
      </c>
      <c r="B15" t="s">
        <v>16</v>
      </c>
      <c r="C15" t="s">
        <v>17</v>
      </c>
      <c r="D15" t="s">
        <v>18</v>
      </c>
      <c r="E15" t="s">
        <v>1334</v>
      </c>
      <c r="F15" t="s">
        <v>19</v>
      </c>
      <c r="G15" s="2">
        <v>46140</v>
      </c>
      <c r="H15" s="2">
        <v>46239</v>
      </c>
      <c r="I15" s="3">
        <v>2013440</v>
      </c>
      <c r="J15" t="s">
        <v>20</v>
      </c>
      <c r="K15" s="1">
        <v>46142</v>
      </c>
      <c r="L15" s="3">
        <v>2055299</v>
      </c>
      <c r="M15" s="3">
        <v>2014268.3536360001</v>
      </c>
      <c r="N15" s="3">
        <v>2014268.3536360001</v>
      </c>
      <c r="O15" s="6" t="s">
        <v>164</v>
      </c>
      <c r="P15" t="s">
        <v>196</v>
      </c>
      <c r="Q15" s="3">
        <v>97</v>
      </c>
      <c r="R15" s="5">
        <v>0.26944400000000002</v>
      </c>
      <c r="S15" s="6" t="s">
        <v>141</v>
      </c>
      <c r="T15" t="s">
        <v>21</v>
      </c>
      <c r="V15" t="str">
        <v>FIP VANTRUST LIQUIDEZ I</v>
      </c>
      <c r="Z15">
        <f t="shared" si="0"/>
        <v>3374726018.3124928</v>
      </c>
      <c r="AB15" t="s">
        <v>104</v>
      </c>
    </row>
    <row r="16" spans="1:28" x14ac:dyDescent="0.25">
      <c r="A16" t="s">
        <v>15</v>
      </c>
      <c r="B16" t="s">
        <v>16</v>
      </c>
      <c r="C16" t="s">
        <v>17</v>
      </c>
      <c r="D16" t="s">
        <v>18</v>
      </c>
      <c r="E16" t="s">
        <v>1335</v>
      </c>
      <c r="F16" t="s">
        <v>19</v>
      </c>
      <c r="G16" s="2">
        <v>46129</v>
      </c>
      <c r="H16" s="2">
        <v>46230</v>
      </c>
      <c r="I16" s="3">
        <v>45292950</v>
      </c>
      <c r="J16" t="s">
        <v>20</v>
      </c>
      <c r="K16" s="1">
        <v>46142</v>
      </c>
      <c r="L16" s="3">
        <v>46225079</v>
      </c>
      <c r="M16" s="3">
        <v>45386339.447019003</v>
      </c>
      <c r="N16" s="3">
        <v>45386339.447019003</v>
      </c>
      <c r="O16" s="6" t="s">
        <v>1336</v>
      </c>
      <c r="P16" t="s">
        <v>196</v>
      </c>
      <c r="Q16" s="3">
        <v>88</v>
      </c>
      <c r="R16" s="5">
        <v>0.24444399999999999</v>
      </c>
      <c r="S16" s="6" t="s">
        <v>145</v>
      </c>
      <c r="T16" t="s">
        <v>21</v>
      </c>
      <c r="V16" t="str">
        <v>FIP VANTRUST LIQUIDEZ LOCAL</v>
      </c>
      <c r="Z16">
        <f t="shared" si="0"/>
        <v>923980090.96260297</v>
      </c>
      <c r="AB16" t="s">
        <v>108</v>
      </c>
    </row>
    <row r="17" spans="1:28" x14ac:dyDescent="0.25">
      <c r="A17" t="s">
        <v>32</v>
      </c>
      <c r="B17" t="s">
        <v>33</v>
      </c>
      <c r="C17" t="s">
        <v>34</v>
      </c>
      <c r="D17" t="s">
        <v>35</v>
      </c>
      <c r="E17" t="s">
        <v>30</v>
      </c>
      <c r="F17" t="s">
        <v>19</v>
      </c>
      <c r="G17" s="2">
        <v>46076</v>
      </c>
      <c r="H17" s="2">
        <v>46174</v>
      </c>
      <c r="I17" s="3">
        <v>69636029</v>
      </c>
      <c r="J17" t="s">
        <v>20</v>
      </c>
      <c r="K17" s="1">
        <v>46142</v>
      </c>
      <c r="L17" s="3">
        <v>70948668</v>
      </c>
      <c r="M17" s="3">
        <v>70460144.332626998</v>
      </c>
      <c r="N17" s="3">
        <v>70460144.332626998</v>
      </c>
      <c r="O17" s="6" t="s">
        <v>452</v>
      </c>
      <c r="P17" t="s">
        <v>196</v>
      </c>
      <c r="Q17" s="3">
        <v>32</v>
      </c>
      <c r="R17" s="5">
        <v>8.8887999999999995E-2</v>
      </c>
      <c r="S17" s="6" t="s">
        <v>145</v>
      </c>
      <c r="T17" t="s">
        <v>21</v>
      </c>
      <c r="V17" t="str">
        <v>FIP VANTRUST LIQUIDEZ MONETARIO I</v>
      </c>
      <c r="Z17">
        <f t="shared" si="0"/>
        <v>2475379611.893054</v>
      </c>
      <c r="AB17" t="s">
        <v>111</v>
      </c>
    </row>
    <row r="18" spans="1:28" x14ac:dyDescent="0.25">
      <c r="A18" t="s">
        <v>32</v>
      </c>
      <c r="B18" t="s">
        <v>33</v>
      </c>
      <c r="C18" t="s">
        <v>34</v>
      </c>
      <c r="D18" t="s">
        <v>35</v>
      </c>
      <c r="E18" t="s">
        <v>1289</v>
      </c>
      <c r="F18" t="s">
        <v>19</v>
      </c>
      <c r="G18" s="2">
        <v>46105</v>
      </c>
      <c r="H18" s="2">
        <v>46204</v>
      </c>
      <c r="I18" s="3">
        <v>27296524</v>
      </c>
      <c r="J18" t="s">
        <v>20</v>
      </c>
      <c r="K18" s="1">
        <v>46142</v>
      </c>
      <c r="L18" s="3">
        <v>27864019</v>
      </c>
      <c r="M18" s="3">
        <v>27505892.282481998</v>
      </c>
      <c r="N18" s="3">
        <v>27505892.282481998</v>
      </c>
      <c r="O18" s="6" t="s">
        <v>312</v>
      </c>
      <c r="P18" t="s">
        <v>196</v>
      </c>
      <c r="Q18" s="3">
        <v>62</v>
      </c>
      <c r="R18" s="5">
        <v>0.17222199999999999</v>
      </c>
      <c r="S18" s="6" t="s">
        <v>145</v>
      </c>
      <c r="T18" t="s">
        <v>21</v>
      </c>
      <c r="V18" t="str">
        <v>FIP VANTRUST LIQUIDEZ PERMANENTE</v>
      </c>
      <c r="Z18">
        <f t="shared" si="0"/>
        <v>476760484.588938</v>
      </c>
      <c r="AB18" t="s">
        <v>114</v>
      </c>
    </row>
    <row r="19" spans="1:28" x14ac:dyDescent="0.25">
      <c r="A19" t="s">
        <v>32</v>
      </c>
      <c r="B19" t="s">
        <v>33</v>
      </c>
      <c r="C19" t="s">
        <v>34</v>
      </c>
      <c r="D19" t="s">
        <v>35</v>
      </c>
      <c r="E19" t="s">
        <v>1289</v>
      </c>
      <c r="F19" t="s">
        <v>19</v>
      </c>
      <c r="G19" s="2">
        <v>46105</v>
      </c>
      <c r="H19" s="2">
        <v>46204</v>
      </c>
      <c r="I19" s="3">
        <v>141829332</v>
      </c>
      <c r="J19" t="s">
        <v>20</v>
      </c>
      <c r="K19" s="1">
        <v>46142</v>
      </c>
      <c r="L19" s="3">
        <v>144777964</v>
      </c>
      <c r="M19" s="3">
        <v>142917182.28662801</v>
      </c>
      <c r="N19" s="3">
        <v>142917182.28662801</v>
      </c>
      <c r="O19" s="6" t="s">
        <v>312</v>
      </c>
      <c r="P19" t="s">
        <v>196</v>
      </c>
      <c r="Q19" s="3">
        <v>62</v>
      </c>
      <c r="R19" s="5">
        <v>0.17222199999999999</v>
      </c>
      <c r="S19" s="6" t="s">
        <v>145</v>
      </c>
      <c r="T19" t="s">
        <v>21</v>
      </c>
      <c r="V19" t="str">
        <v>FIP VANTRUST LIQUIDEZ PLUS</v>
      </c>
      <c r="Z19">
        <f t="shared" si="0"/>
        <v>1071017235.7405468</v>
      </c>
      <c r="AB19" t="s">
        <v>117</v>
      </c>
    </row>
    <row r="20" spans="1:28" x14ac:dyDescent="0.25">
      <c r="A20" t="s">
        <v>32</v>
      </c>
      <c r="B20" t="s">
        <v>33</v>
      </c>
      <c r="C20" t="s">
        <v>34</v>
      </c>
      <c r="D20" t="s">
        <v>35</v>
      </c>
      <c r="E20" t="s">
        <v>31</v>
      </c>
      <c r="F20" t="s">
        <v>19</v>
      </c>
      <c r="G20" s="2">
        <v>46077</v>
      </c>
      <c r="H20" s="2">
        <v>46175</v>
      </c>
      <c r="I20" s="3">
        <v>15988694</v>
      </c>
      <c r="J20" t="s">
        <v>20</v>
      </c>
      <c r="K20" s="1">
        <v>46142</v>
      </c>
      <c r="L20" s="3">
        <v>16149860</v>
      </c>
      <c r="M20" s="3">
        <v>16038711.727727</v>
      </c>
      <c r="N20" s="3">
        <v>16038711.727727</v>
      </c>
      <c r="O20" s="6" t="s">
        <v>149</v>
      </c>
      <c r="P20" t="s">
        <v>201</v>
      </c>
      <c r="Q20" s="3">
        <v>33</v>
      </c>
      <c r="R20" s="5">
        <v>9.1665999999999997E-2</v>
      </c>
      <c r="S20" s="6" t="s">
        <v>145</v>
      </c>
      <c r="T20" t="s">
        <v>21</v>
      </c>
      <c r="V20" t="str">
        <v>FIP VANTRUST LIQUIDEZ PRESENTE</v>
      </c>
      <c r="Z20">
        <f t="shared" si="0"/>
        <v>1587436855.3115098</v>
      </c>
      <c r="AB20" t="s">
        <v>122</v>
      </c>
    </row>
    <row r="21" spans="1:28" x14ac:dyDescent="0.25">
      <c r="A21" t="s">
        <v>32</v>
      </c>
      <c r="B21" t="s">
        <v>33</v>
      </c>
      <c r="C21" t="s">
        <v>34</v>
      </c>
      <c r="D21" t="s">
        <v>35</v>
      </c>
      <c r="E21" t="s">
        <v>1290</v>
      </c>
      <c r="F21" t="s">
        <v>19</v>
      </c>
      <c r="G21" s="2">
        <v>46106</v>
      </c>
      <c r="H21" s="2">
        <v>46205</v>
      </c>
      <c r="I21" s="3">
        <v>38693112</v>
      </c>
      <c r="J21" t="s">
        <v>20</v>
      </c>
      <c r="K21" s="1">
        <v>46142</v>
      </c>
      <c r="L21" s="3">
        <v>39497542</v>
      </c>
      <c r="M21" s="3">
        <v>38981812.619050004</v>
      </c>
      <c r="N21" s="3">
        <v>38981812.619050004</v>
      </c>
      <c r="O21" s="6" t="s">
        <v>321</v>
      </c>
      <c r="P21" t="s">
        <v>196</v>
      </c>
      <c r="Q21" s="3">
        <v>63</v>
      </c>
      <c r="R21" s="5">
        <v>0.17499999999999999</v>
      </c>
      <c r="S21" s="6" t="s">
        <v>145</v>
      </c>
      <c r="T21" t="s">
        <v>21</v>
      </c>
      <c r="V21" t="str">
        <v>FIP VANTRUST LIQUIDEZ RECURRENTE</v>
      </c>
      <c r="Z21">
        <f t="shared" si="0"/>
        <v>322854431.63815403</v>
      </c>
      <c r="AB21" t="s">
        <v>1324</v>
      </c>
    </row>
    <row r="22" spans="1:28" x14ac:dyDescent="0.25">
      <c r="A22" t="s">
        <v>32</v>
      </c>
      <c r="B22" t="s">
        <v>33</v>
      </c>
      <c r="C22" t="s">
        <v>34</v>
      </c>
      <c r="D22" t="s">
        <v>35</v>
      </c>
      <c r="E22" t="s">
        <v>1330</v>
      </c>
      <c r="F22" t="s">
        <v>19</v>
      </c>
      <c r="G22" s="2">
        <v>46136</v>
      </c>
      <c r="H22" s="2">
        <v>46237</v>
      </c>
      <c r="I22" s="3">
        <v>117460061</v>
      </c>
      <c r="J22" t="s">
        <v>20</v>
      </c>
      <c r="K22" s="1">
        <v>46142</v>
      </c>
      <c r="L22" s="3">
        <v>119951389</v>
      </c>
      <c r="M22" s="3">
        <v>117605165.93950699</v>
      </c>
      <c r="N22" s="3">
        <v>117605165.93950699</v>
      </c>
      <c r="O22" s="6" t="s">
        <v>521</v>
      </c>
      <c r="P22" t="s">
        <v>196</v>
      </c>
      <c r="Q22" s="3">
        <v>95</v>
      </c>
      <c r="R22" s="5">
        <v>0.26388800000000001</v>
      </c>
      <c r="S22" s="6" t="s">
        <v>141</v>
      </c>
      <c r="T22" t="s">
        <v>21</v>
      </c>
      <c r="V22" t="str">
        <v>FIP VANTRUST LIQUIDEZ RENDIMIENTO</v>
      </c>
      <c r="Z22">
        <f t="shared" si="0"/>
        <v>2587049655.2363319</v>
      </c>
      <c r="AB22" t="s">
        <v>124</v>
      </c>
    </row>
    <row r="23" spans="1:28" x14ac:dyDescent="0.25">
      <c r="A23" t="s">
        <v>32</v>
      </c>
      <c r="B23" t="s">
        <v>33</v>
      </c>
      <c r="C23" t="s">
        <v>34</v>
      </c>
      <c r="D23" t="s">
        <v>35</v>
      </c>
      <c r="E23" t="s">
        <v>22</v>
      </c>
      <c r="F23" t="s">
        <v>19</v>
      </c>
      <c r="G23" s="2">
        <v>46043</v>
      </c>
      <c r="H23" s="2">
        <v>46146</v>
      </c>
      <c r="I23" s="3">
        <v>94672156</v>
      </c>
      <c r="J23" t="s">
        <v>20</v>
      </c>
      <c r="K23" s="1">
        <v>46142</v>
      </c>
      <c r="L23" s="3">
        <v>95882382</v>
      </c>
      <c r="M23" s="3">
        <v>95799355.891561002</v>
      </c>
      <c r="N23" s="3">
        <v>95799355.891561002</v>
      </c>
      <c r="O23" s="6"/>
      <c r="P23" t="s">
        <v>196</v>
      </c>
      <c r="Q23" s="3">
        <v>4</v>
      </c>
      <c r="R23" s="5">
        <v>1.1110999999999999E-2</v>
      </c>
      <c r="S23" s="6" t="s">
        <v>143</v>
      </c>
      <c r="T23" t="s">
        <v>21</v>
      </c>
      <c r="V23" t="str">
        <v>FIP VANTRUST LIQUIDEZ RESERVA DOLAR</v>
      </c>
      <c r="Z23">
        <f t="shared" si="0"/>
        <v>2118439.1045820001</v>
      </c>
      <c r="AB23" t="s">
        <v>127</v>
      </c>
    </row>
    <row r="24" spans="1:28" x14ac:dyDescent="0.25">
      <c r="A24" t="s">
        <v>32</v>
      </c>
      <c r="B24" t="s">
        <v>33</v>
      </c>
      <c r="C24" t="s">
        <v>34</v>
      </c>
      <c r="D24" t="s">
        <v>35</v>
      </c>
      <c r="E24" t="s">
        <v>22</v>
      </c>
      <c r="F24" t="s">
        <v>19</v>
      </c>
      <c r="G24" s="2">
        <v>46043</v>
      </c>
      <c r="H24" s="2">
        <v>46146</v>
      </c>
      <c r="I24" s="3">
        <v>36014398</v>
      </c>
      <c r="J24" t="s">
        <v>20</v>
      </c>
      <c r="K24" s="1">
        <v>46142</v>
      </c>
      <c r="L24" s="3">
        <v>36474782</v>
      </c>
      <c r="M24" s="3">
        <v>36443197.895158</v>
      </c>
      <c r="N24" s="3">
        <v>36443197.895158</v>
      </c>
      <c r="O24" s="6"/>
      <c r="P24" t="s">
        <v>196</v>
      </c>
      <c r="Q24" s="3">
        <v>4</v>
      </c>
      <c r="R24" s="5">
        <v>1.1110999999999999E-2</v>
      </c>
      <c r="S24" s="6" t="s">
        <v>143</v>
      </c>
      <c r="T24" t="s">
        <v>21</v>
      </c>
      <c r="V24" t="str">
        <v>FIP VANTRUST LIQUIDEZ SENCILLO</v>
      </c>
      <c r="Z24">
        <f t="shared" si="0"/>
        <v>1062650464.298681</v>
      </c>
      <c r="AB24" t="s">
        <v>132</v>
      </c>
    </row>
    <row r="25" spans="1:28" x14ac:dyDescent="0.25">
      <c r="A25" t="s">
        <v>32</v>
      </c>
      <c r="B25" t="s">
        <v>33</v>
      </c>
      <c r="C25" t="s">
        <v>34</v>
      </c>
      <c r="D25" t="s">
        <v>35</v>
      </c>
      <c r="E25" t="s">
        <v>22</v>
      </c>
      <c r="F25" t="s">
        <v>19</v>
      </c>
      <c r="G25" s="2">
        <v>46043</v>
      </c>
      <c r="H25" s="2">
        <v>46146</v>
      </c>
      <c r="I25" s="3">
        <v>6274113</v>
      </c>
      <c r="J25" t="s">
        <v>20</v>
      </c>
      <c r="K25" s="1">
        <v>46142</v>
      </c>
      <c r="L25" s="3">
        <v>6357036</v>
      </c>
      <c r="M25" s="3">
        <v>6351531.3395060003</v>
      </c>
      <c r="N25" s="3">
        <v>6351531.3395060003</v>
      </c>
      <c r="O25" s="6"/>
      <c r="P25" t="s">
        <v>196</v>
      </c>
      <c r="Q25" s="3">
        <v>4</v>
      </c>
      <c r="R25" s="5">
        <v>1.1110999999999999E-2</v>
      </c>
      <c r="S25" s="6" t="s">
        <v>143</v>
      </c>
      <c r="T25" t="s">
        <v>21</v>
      </c>
      <c r="V25" t="str">
        <v>FIP VANTRUST LIQUIDEZ TEMPORAL</v>
      </c>
      <c r="Z25">
        <f t="shared" si="0"/>
        <v>217640342.87161496</v>
      </c>
      <c r="AB25" t="s">
        <v>135</v>
      </c>
    </row>
    <row r="26" spans="1:28" x14ac:dyDescent="0.25">
      <c r="A26" t="s">
        <v>32</v>
      </c>
      <c r="B26" t="s">
        <v>33</v>
      </c>
      <c r="C26" t="s">
        <v>34</v>
      </c>
      <c r="D26" t="s">
        <v>35</v>
      </c>
      <c r="E26" t="s">
        <v>22</v>
      </c>
      <c r="F26" t="s">
        <v>19</v>
      </c>
      <c r="G26" s="2">
        <v>46043</v>
      </c>
      <c r="H26" s="2">
        <v>46146</v>
      </c>
      <c r="I26" s="3">
        <v>28997160</v>
      </c>
      <c r="J26" t="s">
        <v>20</v>
      </c>
      <c r="K26" s="1">
        <v>46142</v>
      </c>
      <c r="L26" s="3">
        <v>29367840</v>
      </c>
      <c r="M26" s="3">
        <v>29342409.91141</v>
      </c>
      <c r="N26" s="3">
        <v>29342409.91141</v>
      </c>
      <c r="O26" s="6"/>
      <c r="P26" t="s">
        <v>196</v>
      </c>
      <c r="Q26" s="3">
        <v>4</v>
      </c>
      <c r="R26" s="5">
        <v>1.1110999999999999E-2</v>
      </c>
      <c r="S26" s="6" t="s">
        <v>143</v>
      </c>
      <c r="T26" t="s">
        <v>21</v>
      </c>
    </row>
    <row r="27" spans="1:28" x14ac:dyDescent="0.25">
      <c r="A27" t="s">
        <v>32</v>
      </c>
      <c r="B27" t="s">
        <v>33</v>
      </c>
      <c r="C27" t="s">
        <v>34</v>
      </c>
      <c r="D27" t="s">
        <v>35</v>
      </c>
      <c r="E27" t="s">
        <v>22</v>
      </c>
      <c r="F27" t="s">
        <v>19</v>
      </c>
      <c r="G27" s="2">
        <v>46043</v>
      </c>
      <c r="H27" s="2">
        <v>46146</v>
      </c>
      <c r="I27" s="3">
        <v>207812030</v>
      </c>
      <c r="J27" t="s">
        <v>20</v>
      </c>
      <c r="K27" s="1">
        <v>46142</v>
      </c>
      <c r="L27" s="3">
        <v>210468560</v>
      </c>
      <c r="M27" s="3">
        <v>210286311.86305201</v>
      </c>
      <c r="N27" s="3">
        <v>210286311.86305201</v>
      </c>
      <c r="O27" s="6"/>
      <c r="P27" t="s">
        <v>196</v>
      </c>
      <c r="Q27" s="3">
        <v>4</v>
      </c>
      <c r="R27" s="5">
        <v>1.1110999999999999E-2</v>
      </c>
      <c r="S27" s="6" t="s">
        <v>143</v>
      </c>
      <c r="T27" t="s">
        <v>21</v>
      </c>
    </row>
    <row r="28" spans="1:28" x14ac:dyDescent="0.25">
      <c r="A28" t="s">
        <v>32</v>
      </c>
      <c r="B28" t="s">
        <v>33</v>
      </c>
      <c r="C28" t="s">
        <v>34</v>
      </c>
      <c r="D28" t="s">
        <v>35</v>
      </c>
      <c r="E28" t="s">
        <v>22</v>
      </c>
      <c r="F28" t="s">
        <v>19</v>
      </c>
      <c r="G28" s="2">
        <v>46043</v>
      </c>
      <c r="H28" s="2">
        <v>46146</v>
      </c>
      <c r="I28" s="3">
        <v>203101491</v>
      </c>
      <c r="J28" t="s">
        <v>20</v>
      </c>
      <c r="K28" s="1">
        <v>46142</v>
      </c>
      <c r="L28" s="3">
        <v>205697805</v>
      </c>
      <c r="M28" s="3">
        <v>205519687.937121</v>
      </c>
      <c r="N28" s="3">
        <v>205519687.937121</v>
      </c>
      <c r="O28" s="6"/>
      <c r="P28" t="s">
        <v>196</v>
      </c>
      <c r="Q28" s="3">
        <v>4</v>
      </c>
      <c r="R28" s="5">
        <v>1.1110999999999999E-2</v>
      </c>
      <c r="S28" s="6" t="s">
        <v>143</v>
      </c>
      <c r="T28" t="s">
        <v>21</v>
      </c>
    </row>
    <row r="29" spans="1:28" x14ac:dyDescent="0.25">
      <c r="A29" t="s">
        <v>32</v>
      </c>
      <c r="B29" t="s">
        <v>33</v>
      </c>
      <c r="C29" t="s">
        <v>34</v>
      </c>
      <c r="D29" t="s">
        <v>35</v>
      </c>
      <c r="E29" t="s">
        <v>22</v>
      </c>
      <c r="F29" t="s">
        <v>19</v>
      </c>
      <c r="G29" s="2">
        <v>46043</v>
      </c>
      <c r="H29" s="2">
        <v>46146</v>
      </c>
      <c r="I29" s="3">
        <v>71846423</v>
      </c>
      <c r="J29" t="s">
        <v>20</v>
      </c>
      <c r="K29" s="1">
        <v>46142</v>
      </c>
      <c r="L29" s="3">
        <v>72764860</v>
      </c>
      <c r="M29" s="3">
        <v>72701851.728502005</v>
      </c>
      <c r="N29" s="3">
        <v>72701851.728502005</v>
      </c>
      <c r="O29" s="6"/>
      <c r="P29" t="s">
        <v>196</v>
      </c>
      <c r="Q29" s="3">
        <v>4</v>
      </c>
      <c r="R29" s="5">
        <v>1.1110999999999999E-2</v>
      </c>
      <c r="S29" s="6" t="s">
        <v>143</v>
      </c>
      <c r="T29" t="s">
        <v>21</v>
      </c>
    </row>
    <row r="30" spans="1:28" x14ac:dyDescent="0.25">
      <c r="A30" t="s">
        <v>32</v>
      </c>
      <c r="B30" t="s">
        <v>33</v>
      </c>
      <c r="C30" t="s">
        <v>34</v>
      </c>
      <c r="D30" t="s">
        <v>35</v>
      </c>
      <c r="E30" t="s">
        <v>22</v>
      </c>
      <c r="F30" t="s">
        <v>19</v>
      </c>
      <c r="G30" s="2">
        <v>46043</v>
      </c>
      <c r="H30" s="2">
        <v>46146</v>
      </c>
      <c r="I30" s="3">
        <v>155278460</v>
      </c>
      <c r="J30" t="s">
        <v>20</v>
      </c>
      <c r="K30" s="1">
        <v>46142</v>
      </c>
      <c r="L30" s="3">
        <v>157263436</v>
      </c>
      <c r="M30" s="3">
        <v>157127259.04216301</v>
      </c>
      <c r="N30" s="3">
        <v>157127259.04216301</v>
      </c>
      <c r="O30" s="6"/>
      <c r="P30" t="s">
        <v>196</v>
      </c>
      <c r="Q30" s="3">
        <v>4</v>
      </c>
      <c r="R30" s="5">
        <v>1.1110999999999999E-2</v>
      </c>
      <c r="S30" s="6" t="s">
        <v>143</v>
      </c>
      <c r="T30" t="s">
        <v>21</v>
      </c>
    </row>
    <row r="31" spans="1:28" x14ac:dyDescent="0.25">
      <c r="A31" t="s">
        <v>32</v>
      </c>
      <c r="B31" t="s">
        <v>33</v>
      </c>
      <c r="C31" t="s">
        <v>34</v>
      </c>
      <c r="D31" t="s">
        <v>35</v>
      </c>
      <c r="E31" t="s">
        <v>22</v>
      </c>
      <c r="F31" t="s">
        <v>19</v>
      </c>
      <c r="G31" s="2">
        <v>46043</v>
      </c>
      <c r="H31" s="2">
        <v>46146</v>
      </c>
      <c r="I31" s="3">
        <v>67032873</v>
      </c>
      <c r="J31" t="s">
        <v>20</v>
      </c>
      <c r="K31" s="1">
        <v>46142</v>
      </c>
      <c r="L31" s="3">
        <v>67889777</v>
      </c>
      <c r="M31" s="3">
        <v>67830990.141876996</v>
      </c>
      <c r="N31" s="3">
        <v>67830990.141876996</v>
      </c>
      <c r="O31" s="6"/>
      <c r="P31" t="s">
        <v>196</v>
      </c>
      <c r="Q31" s="3">
        <v>4</v>
      </c>
      <c r="R31" s="5">
        <v>1.1110999999999999E-2</v>
      </c>
      <c r="S31" s="6" t="s">
        <v>143</v>
      </c>
      <c r="T31" t="s">
        <v>21</v>
      </c>
    </row>
    <row r="32" spans="1:28" x14ac:dyDescent="0.25">
      <c r="A32" t="s">
        <v>32</v>
      </c>
      <c r="B32" t="s">
        <v>33</v>
      </c>
      <c r="C32" t="s">
        <v>34</v>
      </c>
      <c r="D32" t="s">
        <v>35</v>
      </c>
      <c r="E32" t="s">
        <v>22</v>
      </c>
      <c r="F32" t="s">
        <v>19</v>
      </c>
      <c r="G32" s="2">
        <v>46043</v>
      </c>
      <c r="H32" s="2">
        <v>46146</v>
      </c>
      <c r="I32" s="3">
        <v>80240218</v>
      </c>
      <c r="J32" t="s">
        <v>20</v>
      </c>
      <c r="K32" s="1">
        <v>46142</v>
      </c>
      <c r="L32" s="3">
        <v>81265955</v>
      </c>
      <c r="M32" s="3">
        <v>81195585.492572993</v>
      </c>
      <c r="N32" s="3">
        <v>81195585.492572993</v>
      </c>
      <c r="O32" s="6"/>
      <c r="P32" t="s">
        <v>196</v>
      </c>
      <c r="Q32" s="3">
        <v>4</v>
      </c>
      <c r="R32" s="5">
        <v>1.1110999999999999E-2</v>
      </c>
      <c r="S32" s="6" t="s">
        <v>143</v>
      </c>
      <c r="T32" t="s">
        <v>21</v>
      </c>
    </row>
    <row r="33" spans="1:20" x14ac:dyDescent="0.25">
      <c r="A33" t="s">
        <v>32</v>
      </c>
      <c r="B33" t="s">
        <v>33</v>
      </c>
      <c r="C33" t="s">
        <v>34</v>
      </c>
      <c r="D33" t="s">
        <v>35</v>
      </c>
      <c r="E33" t="s">
        <v>1291</v>
      </c>
      <c r="F33" t="s">
        <v>19</v>
      </c>
      <c r="G33" s="2">
        <v>46083</v>
      </c>
      <c r="H33" s="2">
        <v>46177</v>
      </c>
      <c r="I33" s="3">
        <v>14205049</v>
      </c>
      <c r="J33" t="s">
        <v>20</v>
      </c>
      <c r="K33" s="1">
        <v>46142</v>
      </c>
      <c r="L33" s="3">
        <v>14482047</v>
      </c>
      <c r="M33" s="3">
        <v>14373051.360516001</v>
      </c>
      <c r="N33" s="3">
        <v>14373051.360516001</v>
      </c>
      <c r="O33" s="6" t="s">
        <v>282</v>
      </c>
      <c r="P33" t="s">
        <v>196</v>
      </c>
      <c r="Q33" s="3">
        <v>35</v>
      </c>
      <c r="R33" s="5">
        <v>9.7222000000000003E-2</v>
      </c>
      <c r="S33" s="6" t="s">
        <v>145</v>
      </c>
      <c r="T33" t="s">
        <v>21</v>
      </c>
    </row>
    <row r="34" spans="1:20" x14ac:dyDescent="0.25">
      <c r="A34" t="s">
        <v>32</v>
      </c>
      <c r="B34" t="s">
        <v>33</v>
      </c>
      <c r="C34" t="s">
        <v>34</v>
      </c>
      <c r="D34" t="s">
        <v>35</v>
      </c>
      <c r="E34" t="s">
        <v>1291</v>
      </c>
      <c r="F34" t="s">
        <v>19</v>
      </c>
      <c r="G34" s="2">
        <v>46083</v>
      </c>
      <c r="H34" s="2">
        <v>46177</v>
      </c>
      <c r="I34" s="3">
        <v>37884654</v>
      </c>
      <c r="J34" t="s">
        <v>20</v>
      </c>
      <c r="K34" s="1">
        <v>46142</v>
      </c>
      <c r="L34" s="3">
        <v>38623405</v>
      </c>
      <c r="M34" s="3">
        <v>38332715.242743</v>
      </c>
      <c r="N34" s="3">
        <v>38332715.242743</v>
      </c>
      <c r="O34" s="6" t="s">
        <v>282</v>
      </c>
      <c r="P34" t="s">
        <v>196</v>
      </c>
      <c r="Q34" s="3">
        <v>35</v>
      </c>
      <c r="R34" s="5">
        <v>9.7222000000000003E-2</v>
      </c>
      <c r="S34" s="6" t="s">
        <v>145</v>
      </c>
      <c r="T34" t="s">
        <v>21</v>
      </c>
    </row>
    <row r="35" spans="1:20" x14ac:dyDescent="0.25">
      <c r="A35" t="s">
        <v>32</v>
      </c>
      <c r="B35" t="s">
        <v>33</v>
      </c>
      <c r="C35" t="s">
        <v>34</v>
      </c>
      <c r="D35" t="s">
        <v>35</v>
      </c>
      <c r="E35" t="s">
        <v>1291</v>
      </c>
      <c r="F35" t="s">
        <v>19</v>
      </c>
      <c r="G35" s="2">
        <v>46083</v>
      </c>
      <c r="H35" s="2">
        <v>46177</v>
      </c>
      <c r="I35" s="3">
        <v>44498276</v>
      </c>
      <c r="J35" t="s">
        <v>20</v>
      </c>
      <c r="K35" s="1">
        <v>46142</v>
      </c>
      <c r="L35" s="3">
        <v>45365992</v>
      </c>
      <c r="M35" s="3">
        <v>45024555.785295002</v>
      </c>
      <c r="N35" s="3">
        <v>45024555.785295002</v>
      </c>
      <c r="O35" s="6" t="s">
        <v>282</v>
      </c>
      <c r="P35" t="s">
        <v>196</v>
      </c>
      <c r="Q35" s="3">
        <v>35</v>
      </c>
      <c r="R35" s="5">
        <v>9.7222000000000003E-2</v>
      </c>
      <c r="S35" s="6" t="s">
        <v>145</v>
      </c>
      <c r="T35" t="s">
        <v>21</v>
      </c>
    </row>
    <row r="36" spans="1:20" x14ac:dyDescent="0.25">
      <c r="A36" t="s">
        <v>32</v>
      </c>
      <c r="B36" t="s">
        <v>33</v>
      </c>
      <c r="C36" t="s">
        <v>34</v>
      </c>
      <c r="D36" t="s">
        <v>35</v>
      </c>
      <c r="E36" t="s">
        <v>1291</v>
      </c>
      <c r="F36" t="s">
        <v>19</v>
      </c>
      <c r="G36" s="2">
        <v>46083</v>
      </c>
      <c r="H36" s="2">
        <v>46177</v>
      </c>
      <c r="I36" s="3">
        <v>57143988</v>
      </c>
      <c r="J36" t="s">
        <v>20</v>
      </c>
      <c r="K36" s="1">
        <v>46142</v>
      </c>
      <c r="L36" s="3">
        <v>58258296</v>
      </c>
      <c r="M36" s="3">
        <v>57819828.963692002</v>
      </c>
      <c r="N36" s="3">
        <v>57819828.963692002</v>
      </c>
      <c r="O36" s="6" t="s">
        <v>282</v>
      </c>
      <c r="P36" t="s">
        <v>196</v>
      </c>
      <c r="Q36" s="3">
        <v>35</v>
      </c>
      <c r="R36" s="5">
        <v>9.7222000000000003E-2</v>
      </c>
      <c r="S36" s="6" t="s">
        <v>145</v>
      </c>
      <c r="T36" t="s">
        <v>21</v>
      </c>
    </row>
    <row r="37" spans="1:20" x14ac:dyDescent="0.25">
      <c r="A37" t="s">
        <v>32</v>
      </c>
      <c r="B37" t="s">
        <v>33</v>
      </c>
      <c r="C37" t="s">
        <v>34</v>
      </c>
      <c r="D37" t="s">
        <v>35</v>
      </c>
      <c r="E37" t="s">
        <v>1291</v>
      </c>
      <c r="F37" t="s">
        <v>19</v>
      </c>
      <c r="G37" s="2">
        <v>46083</v>
      </c>
      <c r="H37" s="2">
        <v>46177</v>
      </c>
      <c r="I37" s="3">
        <v>28928533</v>
      </c>
      <c r="J37" t="s">
        <v>20</v>
      </c>
      <c r="K37" s="1">
        <v>46142</v>
      </c>
      <c r="L37" s="3">
        <v>29492639</v>
      </c>
      <c r="M37" s="3">
        <v>29270669.754363</v>
      </c>
      <c r="N37" s="3">
        <v>29270669.754363</v>
      </c>
      <c r="O37" s="6" t="s">
        <v>282</v>
      </c>
      <c r="P37" t="s">
        <v>196</v>
      </c>
      <c r="Q37" s="3">
        <v>35</v>
      </c>
      <c r="R37" s="5">
        <v>9.7222000000000003E-2</v>
      </c>
      <c r="S37" s="6" t="s">
        <v>145</v>
      </c>
      <c r="T37" t="s">
        <v>21</v>
      </c>
    </row>
    <row r="38" spans="1:20" x14ac:dyDescent="0.25">
      <c r="A38" t="s">
        <v>32</v>
      </c>
      <c r="B38" t="s">
        <v>33</v>
      </c>
      <c r="C38" t="s">
        <v>34</v>
      </c>
      <c r="D38" t="s">
        <v>35</v>
      </c>
      <c r="E38" t="s">
        <v>1291</v>
      </c>
      <c r="F38" t="s">
        <v>19</v>
      </c>
      <c r="G38" s="2">
        <v>46083</v>
      </c>
      <c r="H38" s="2">
        <v>46177</v>
      </c>
      <c r="I38" s="3">
        <v>72866334</v>
      </c>
      <c r="J38" t="s">
        <v>20</v>
      </c>
      <c r="K38" s="1">
        <v>46142</v>
      </c>
      <c r="L38" s="3">
        <v>74287228</v>
      </c>
      <c r="M38" s="3">
        <v>73728123.066744</v>
      </c>
      <c r="N38" s="3">
        <v>73728123.066744</v>
      </c>
      <c r="O38" s="6" t="s">
        <v>282</v>
      </c>
      <c r="P38" t="s">
        <v>196</v>
      </c>
      <c r="Q38" s="3">
        <v>35</v>
      </c>
      <c r="R38" s="5">
        <v>9.7222000000000003E-2</v>
      </c>
      <c r="S38" s="6" t="s">
        <v>145</v>
      </c>
      <c r="T38" t="s">
        <v>21</v>
      </c>
    </row>
    <row r="39" spans="1:20" x14ac:dyDescent="0.25">
      <c r="A39" t="s">
        <v>32</v>
      </c>
      <c r="B39" t="s">
        <v>33</v>
      </c>
      <c r="C39" t="s">
        <v>34</v>
      </c>
      <c r="D39" t="s">
        <v>35</v>
      </c>
      <c r="E39" t="s">
        <v>1291</v>
      </c>
      <c r="F39" t="s">
        <v>19</v>
      </c>
      <c r="G39" s="2">
        <v>46083</v>
      </c>
      <c r="H39" s="2">
        <v>46177</v>
      </c>
      <c r="I39" s="3">
        <v>64510308</v>
      </c>
      <c r="J39" t="s">
        <v>20</v>
      </c>
      <c r="K39" s="1">
        <v>46142</v>
      </c>
      <c r="L39" s="3">
        <v>65768259</v>
      </c>
      <c r="M39" s="3">
        <v>65273270.035563998</v>
      </c>
      <c r="N39" s="3">
        <v>65273270.035563998</v>
      </c>
      <c r="O39" s="6" t="s">
        <v>282</v>
      </c>
      <c r="P39" t="s">
        <v>196</v>
      </c>
      <c r="Q39" s="3">
        <v>35</v>
      </c>
      <c r="R39" s="5">
        <v>9.7222000000000003E-2</v>
      </c>
      <c r="S39" s="6" t="s">
        <v>145</v>
      </c>
      <c r="T39" t="s">
        <v>21</v>
      </c>
    </row>
    <row r="40" spans="1:20" x14ac:dyDescent="0.25">
      <c r="A40" t="s">
        <v>32</v>
      </c>
      <c r="B40" t="s">
        <v>33</v>
      </c>
      <c r="C40" t="s">
        <v>34</v>
      </c>
      <c r="D40" t="s">
        <v>35</v>
      </c>
      <c r="E40" t="s">
        <v>1337</v>
      </c>
      <c r="F40" t="s">
        <v>19</v>
      </c>
      <c r="G40" s="2">
        <v>46139</v>
      </c>
      <c r="H40" s="2">
        <v>46238</v>
      </c>
      <c r="I40" s="3">
        <v>64058459</v>
      </c>
      <c r="J40" t="s">
        <v>20</v>
      </c>
      <c r="K40" s="1">
        <v>46142</v>
      </c>
      <c r="L40" s="3">
        <v>65390234</v>
      </c>
      <c r="M40" s="3">
        <v>64098017.957966998</v>
      </c>
      <c r="N40" s="3">
        <v>64098017.957966998</v>
      </c>
      <c r="O40" s="6" t="s">
        <v>140</v>
      </c>
      <c r="P40" t="s">
        <v>201</v>
      </c>
      <c r="Q40" s="3">
        <v>96</v>
      </c>
      <c r="R40" s="5">
        <v>0.26666600000000001</v>
      </c>
      <c r="S40" s="6" t="s">
        <v>141</v>
      </c>
      <c r="T40" t="s">
        <v>21</v>
      </c>
    </row>
    <row r="41" spans="1:20" x14ac:dyDescent="0.25">
      <c r="A41" t="s">
        <v>32</v>
      </c>
      <c r="B41" t="s">
        <v>33</v>
      </c>
      <c r="C41" t="s">
        <v>34</v>
      </c>
      <c r="D41" t="s">
        <v>35</v>
      </c>
      <c r="E41" t="s">
        <v>1337</v>
      </c>
      <c r="F41" t="s">
        <v>19</v>
      </c>
      <c r="G41" s="2">
        <v>46139</v>
      </c>
      <c r="H41" s="2">
        <v>46238</v>
      </c>
      <c r="I41" s="3">
        <v>188056040</v>
      </c>
      <c r="J41" t="s">
        <v>20</v>
      </c>
      <c r="K41" s="1">
        <v>46142</v>
      </c>
      <c r="L41" s="3">
        <v>191965725</v>
      </c>
      <c r="M41" s="3">
        <v>188172173.97271001</v>
      </c>
      <c r="N41" s="3">
        <v>188172173.97271001</v>
      </c>
      <c r="O41" s="6" t="s">
        <v>140</v>
      </c>
      <c r="P41" t="s">
        <v>201</v>
      </c>
      <c r="Q41" s="3">
        <v>96</v>
      </c>
      <c r="R41" s="5">
        <v>0.26666600000000001</v>
      </c>
      <c r="S41" s="6" t="s">
        <v>141</v>
      </c>
      <c r="T41" t="s">
        <v>21</v>
      </c>
    </row>
    <row r="42" spans="1:20" x14ac:dyDescent="0.25">
      <c r="A42" t="s">
        <v>32</v>
      </c>
      <c r="B42" t="s">
        <v>33</v>
      </c>
      <c r="C42" t="s">
        <v>34</v>
      </c>
      <c r="D42" t="s">
        <v>35</v>
      </c>
      <c r="E42" t="s">
        <v>36</v>
      </c>
      <c r="F42" t="s">
        <v>19</v>
      </c>
      <c r="G42" s="2">
        <v>46048</v>
      </c>
      <c r="H42" s="2">
        <v>46147</v>
      </c>
      <c r="I42" s="3">
        <v>16831696</v>
      </c>
      <c r="J42" t="s">
        <v>20</v>
      </c>
      <c r="K42" s="1">
        <v>46142</v>
      </c>
      <c r="L42" s="3">
        <v>17050508</v>
      </c>
      <c r="M42" s="3">
        <v>17032056.605344001</v>
      </c>
      <c r="N42" s="3">
        <v>17032056.605344001</v>
      </c>
      <c r="O42" s="6"/>
      <c r="P42" t="s">
        <v>196</v>
      </c>
      <c r="Q42" s="3">
        <v>5</v>
      </c>
      <c r="R42" s="5">
        <v>1.3887999999999999E-2</v>
      </c>
      <c r="S42" s="6" t="s">
        <v>143</v>
      </c>
      <c r="T42" t="s">
        <v>21</v>
      </c>
    </row>
    <row r="43" spans="1:20" x14ac:dyDescent="0.25">
      <c r="A43" t="s">
        <v>32</v>
      </c>
      <c r="B43" t="s">
        <v>33</v>
      </c>
      <c r="C43" t="s">
        <v>34</v>
      </c>
      <c r="D43" t="s">
        <v>35</v>
      </c>
      <c r="E43" t="s">
        <v>1292</v>
      </c>
      <c r="F43" t="s">
        <v>19</v>
      </c>
      <c r="G43" s="2">
        <v>46083</v>
      </c>
      <c r="H43" s="2">
        <v>46178</v>
      </c>
      <c r="I43" s="3">
        <v>18217546</v>
      </c>
      <c r="J43" t="s">
        <v>20</v>
      </c>
      <c r="K43" s="1">
        <v>46142</v>
      </c>
      <c r="L43" s="3">
        <v>18584630</v>
      </c>
      <c r="M43" s="3">
        <v>18440791.823775001</v>
      </c>
      <c r="N43" s="3">
        <v>18440791.823775001</v>
      </c>
      <c r="O43" s="6" t="s">
        <v>283</v>
      </c>
      <c r="P43" t="s">
        <v>196</v>
      </c>
      <c r="Q43" s="3">
        <v>36</v>
      </c>
      <c r="R43" s="5">
        <v>0.1</v>
      </c>
      <c r="S43" s="6" t="s">
        <v>145</v>
      </c>
      <c r="T43" t="s">
        <v>21</v>
      </c>
    </row>
    <row r="44" spans="1:20" x14ac:dyDescent="0.25">
      <c r="A44" t="s">
        <v>32</v>
      </c>
      <c r="B44" t="s">
        <v>33</v>
      </c>
      <c r="C44" t="s">
        <v>34</v>
      </c>
      <c r="D44" t="s">
        <v>35</v>
      </c>
      <c r="E44" t="s">
        <v>1331</v>
      </c>
      <c r="F44" t="s">
        <v>19</v>
      </c>
      <c r="G44" s="2">
        <v>46140</v>
      </c>
      <c r="H44" s="2">
        <v>46239</v>
      </c>
      <c r="I44" s="3">
        <v>13434888</v>
      </c>
      <c r="J44" t="s">
        <v>20</v>
      </c>
      <c r="K44" s="1">
        <v>46142</v>
      </c>
      <c r="L44" s="3">
        <v>13714199</v>
      </c>
      <c r="M44" s="3">
        <v>13440417.691622</v>
      </c>
      <c r="N44" s="3">
        <v>13440417.691622</v>
      </c>
      <c r="O44" s="6" t="s">
        <v>248</v>
      </c>
      <c r="P44" t="s">
        <v>196</v>
      </c>
      <c r="Q44" s="3">
        <v>97</v>
      </c>
      <c r="R44" s="5">
        <v>0.26944400000000002</v>
      </c>
      <c r="S44" s="6" t="s">
        <v>141</v>
      </c>
      <c r="T44" t="s">
        <v>21</v>
      </c>
    </row>
    <row r="45" spans="1:20" x14ac:dyDescent="0.25">
      <c r="A45" t="s">
        <v>32</v>
      </c>
      <c r="B45" t="s">
        <v>33</v>
      </c>
      <c r="C45" t="s">
        <v>34</v>
      </c>
      <c r="D45" t="s">
        <v>35</v>
      </c>
      <c r="E45" t="s">
        <v>1338</v>
      </c>
      <c r="F45" t="s">
        <v>19</v>
      </c>
      <c r="G45" s="2">
        <v>46140</v>
      </c>
      <c r="H45" s="2">
        <v>46240</v>
      </c>
      <c r="I45" s="3">
        <v>6906494</v>
      </c>
      <c r="J45" t="s">
        <v>20</v>
      </c>
      <c r="K45" s="1">
        <v>46142</v>
      </c>
      <c r="L45" s="3">
        <v>7051530</v>
      </c>
      <c r="M45" s="3">
        <v>6909335.8678400004</v>
      </c>
      <c r="N45" s="3">
        <v>6909335.8678400004</v>
      </c>
      <c r="O45" s="6" t="s">
        <v>1271</v>
      </c>
      <c r="P45" t="s">
        <v>196</v>
      </c>
      <c r="Q45" s="3">
        <v>98</v>
      </c>
      <c r="R45" s="5">
        <v>0.27222200000000002</v>
      </c>
      <c r="S45" s="6" t="s">
        <v>141</v>
      </c>
      <c r="T45" t="s">
        <v>21</v>
      </c>
    </row>
    <row r="46" spans="1:20" x14ac:dyDescent="0.25">
      <c r="A46" t="s">
        <v>32</v>
      </c>
      <c r="B46" t="s">
        <v>33</v>
      </c>
      <c r="C46" t="s">
        <v>34</v>
      </c>
      <c r="D46" t="s">
        <v>35</v>
      </c>
      <c r="E46" t="s">
        <v>1338</v>
      </c>
      <c r="F46" t="s">
        <v>19</v>
      </c>
      <c r="G46" s="2">
        <v>46140</v>
      </c>
      <c r="H46" s="2">
        <v>46240</v>
      </c>
      <c r="I46" s="3">
        <v>108166437</v>
      </c>
      <c r="J46" t="s">
        <v>20</v>
      </c>
      <c r="K46" s="1">
        <v>46142</v>
      </c>
      <c r="L46" s="3">
        <v>110437932</v>
      </c>
      <c r="M46" s="3">
        <v>108210950.635913</v>
      </c>
      <c r="N46" s="3">
        <v>108210950.635913</v>
      </c>
      <c r="O46" s="6" t="s">
        <v>1271</v>
      </c>
      <c r="P46" t="s">
        <v>196</v>
      </c>
      <c r="Q46" s="3">
        <v>98</v>
      </c>
      <c r="R46" s="5">
        <v>0.27222200000000002</v>
      </c>
      <c r="S46" s="6" t="s">
        <v>141</v>
      </c>
      <c r="T46" t="s">
        <v>21</v>
      </c>
    </row>
    <row r="47" spans="1:20" x14ac:dyDescent="0.25">
      <c r="A47" t="s">
        <v>32</v>
      </c>
      <c r="B47" t="s">
        <v>33</v>
      </c>
      <c r="C47" t="s">
        <v>34</v>
      </c>
      <c r="D47" t="s">
        <v>35</v>
      </c>
      <c r="E47" t="s">
        <v>1338</v>
      </c>
      <c r="F47" t="s">
        <v>19</v>
      </c>
      <c r="G47" s="2">
        <v>46140</v>
      </c>
      <c r="H47" s="2">
        <v>46240</v>
      </c>
      <c r="I47" s="3">
        <v>69490099</v>
      </c>
      <c r="J47" t="s">
        <v>20</v>
      </c>
      <c r="K47" s="1">
        <v>46142</v>
      </c>
      <c r="L47" s="3">
        <v>70949391</v>
      </c>
      <c r="M47" s="3">
        <v>69518696.231555</v>
      </c>
      <c r="N47" s="3">
        <v>69518696.231555</v>
      </c>
      <c r="O47" s="6" t="s">
        <v>1271</v>
      </c>
      <c r="P47" t="s">
        <v>196</v>
      </c>
      <c r="Q47" s="3">
        <v>98</v>
      </c>
      <c r="R47" s="5">
        <v>0.27222200000000002</v>
      </c>
      <c r="S47" s="6" t="s">
        <v>141</v>
      </c>
      <c r="T47" t="s">
        <v>21</v>
      </c>
    </row>
    <row r="48" spans="1:20" x14ac:dyDescent="0.25">
      <c r="A48" t="s">
        <v>32</v>
      </c>
      <c r="B48" t="s">
        <v>33</v>
      </c>
      <c r="C48" t="s">
        <v>34</v>
      </c>
      <c r="D48" t="s">
        <v>35</v>
      </c>
      <c r="E48" t="s">
        <v>23</v>
      </c>
      <c r="F48" t="s">
        <v>19</v>
      </c>
      <c r="G48" s="2">
        <v>46049</v>
      </c>
      <c r="H48" s="2">
        <v>46149</v>
      </c>
      <c r="I48" s="3">
        <v>48335966</v>
      </c>
      <c r="J48" t="s">
        <v>20</v>
      </c>
      <c r="K48" s="1">
        <v>46142</v>
      </c>
      <c r="L48" s="3">
        <v>48985279</v>
      </c>
      <c r="M48" s="3">
        <v>48911097.169293001</v>
      </c>
      <c r="N48" s="3">
        <v>48911097.169293001</v>
      </c>
      <c r="O48" s="6" t="s">
        <v>521</v>
      </c>
      <c r="P48" t="s">
        <v>196</v>
      </c>
      <c r="Q48" s="3">
        <v>7</v>
      </c>
      <c r="R48" s="5">
        <v>1.9443999999999999E-2</v>
      </c>
      <c r="S48" s="6" t="s">
        <v>143</v>
      </c>
      <c r="T48" t="s">
        <v>21</v>
      </c>
    </row>
    <row r="49" spans="1:20" x14ac:dyDescent="0.25">
      <c r="A49" t="s">
        <v>32</v>
      </c>
      <c r="B49" t="s">
        <v>33</v>
      </c>
      <c r="C49" t="s">
        <v>34</v>
      </c>
      <c r="D49" t="s">
        <v>35</v>
      </c>
      <c r="E49" t="s">
        <v>1294</v>
      </c>
      <c r="F49" t="s">
        <v>19</v>
      </c>
      <c r="G49" s="2">
        <v>46111</v>
      </c>
      <c r="H49" s="2">
        <v>46210</v>
      </c>
      <c r="I49" s="3">
        <v>37433024</v>
      </c>
      <c r="J49" t="s">
        <v>20</v>
      </c>
      <c r="K49" s="1">
        <v>46142</v>
      </c>
      <c r="L49" s="3">
        <v>38211257</v>
      </c>
      <c r="M49" s="3">
        <v>37673282.525535002</v>
      </c>
      <c r="N49" s="3">
        <v>37673282.525535002</v>
      </c>
      <c r="O49" s="6" t="s">
        <v>325</v>
      </c>
      <c r="P49" t="s">
        <v>196</v>
      </c>
      <c r="Q49" s="3">
        <v>68</v>
      </c>
      <c r="R49" s="5">
        <v>0.188888</v>
      </c>
      <c r="S49" s="6" t="s">
        <v>145</v>
      </c>
      <c r="T49" t="s">
        <v>21</v>
      </c>
    </row>
    <row r="50" spans="1:20" x14ac:dyDescent="0.25">
      <c r="A50" t="s">
        <v>32</v>
      </c>
      <c r="B50" t="s">
        <v>33</v>
      </c>
      <c r="C50" t="s">
        <v>34</v>
      </c>
      <c r="D50" t="s">
        <v>35</v>
      </c>
      <c r="E50" t="s">
        <v>1295</v>
      </c>
      <c r="F50" t="s">
        <v>19</v>
      </c>
      <c r="G50" s="2">
        <v>46085</v>
      </c>
      <c r="H50" s="2">
        <v>46181</v>
      </c>
      <c r="I50" s="3">
        <v>21369099</v>
      </c>
      <c r="J50" t="s">
        <v>20</v>
      </c>
      <c r="K50" s="1">
        <v>46142</v>
      </c>
      <c r="L50" s="3">
        <v>21813576</v>
      </c>
      <c r="M50" s="3">
        <v>21630795.775695</v>
      </c>
      <c r="N50" s="3">
        <v>21630795.775695</v>
      </c>
      <c r="O50" s="6" t="s">
        <v>278</v>
      </c>
      <c r="P50" t="s">
        <v>196</v>
      </c>
      <c r="Q50" s="3">
        <v>39</v>
      </c>
      <c r="R50" s="5">
        <v>0.108333</v>
      </c>
      <c r="S50" s="6" t="s">
        <v>145</v>
      </c>
      <c r="T50" t="s">
        <v>21</v>
      </c>
    </row>
    <row r="51" spans="1:20" x14ac:dyDescent="0.25">
      <c r="A51" t="s">
        <v>32</v>
      </c>
      <c r="B51" t="s">
        <v>33</v>
      </c>
      <c r="C51" t="s">
        <v>34</v>
      </c>
      <c r="D51" t="s">
        <v>35</v>
      </c>
      <c r="E51" t="s">
        <v>37</v>
      </c>
      <c r="F51" t="s">
        <v>19</v>
      </c>
      <c r="G51" s="2">
        <v>46050</v>
      </c>
      <c r="H51" s="2">
        <v>46153</v>
      </c>
      <c r="I51" s="3">
        <v>101306239</v>
      </c>
      <c r="J51" t="s">
        <v>20</v>
      </c>
      <c r="K51" s="1">
        <v>46142</v>
      </c>
      <c r="L51" s="3">
        <v>102754918</v>
      </c>
      <c r="M51" s="3">
        <v>102510601.06745601</v>
      </c>
      <c r="N51" s="3">
        <v>102510601.06745601</v>
      </c>
      <c r="O51" s="6" t="s">
        <v>153</v>
      </c>
      <c r="P51" t="s">
        <v>196</v>
      </c>
      <c r="Q51" s="3">
        <v>11</v>
      </c>
      <c r="R51" s="5">
        <v>3.0554999999999999E-2</v>
      </c>
      <c r="S51" s="6" t="s">
        <v>143</v>
      </c>
      <c r="T51" t="s">
        <v>21</v>
      </c>
    </row>
    <row r="52" spans="1:20" x14ac:dyDescent="0.25">
      <c r="A52" t="s">
        <v>32</v>
      </c>
      <c r="B52" t="s">
        <v>33</v>
      </c>
      <c r="C52" t="s">
        <v>34</v>
      </c>
      <c r="D52" t="s">
        <v>35</v>
      </c>
      <c r="E52" t="s">
        <v>1339</v>
      </c>
      <c r="F52" t="s">
        <v>19</v>
      </c>
      <c r="G52" s="2">
        <v>46141</v>
      </c>
      <c r="H52" s="2">
        <v>46245</v>
      </c>
      <c r="I52" s="3">
        <v>52866537</v>
      </c>
      <c r="J52" t="s">
        <v>20</v>
      </c>
      <c r="K52" s="1">
        <v>46142</v>
      </c>
      <c r="L52" s="3">
        <v>54021142</v>
      </c>
      <c r="M52" s="3">
        <v>52877403.756742001</v>
      </c>
      <c r="N52" s="3">
        <v>52877403.756742001</v>
      </c>
      <c r="O52" s="6" t="s">
        <v>1271</v>
      </c>
      <c r="P52" t="s">
        <v>196</v>
      </c>
      <c r="Q52" s="3">
        <v>103</v>
      </c>
      <c r="R52" s="5">
        <v>0.286111</v>
      </c>
      <c r="S52" s="6" t="s">
        <v>141</v>
      </c>
      <c r="T52" t="s">
        <v>21</v>
      </c>
    </row>
    <row r="53" spans="1:20" x14ac:dyDescent="0.25">
      <c r="A53" t="s">
        <v>32</v>
      </c>
      <c r="B53" t="s">
        <v>33</v>
      </c>
      <c r="C53" t="s">
        <v>34</v>
      </c>
      <c r="D53" t="s">
        <v>35</v>
      </c>
      <c r="E53" t="s">
        <v>1339</v>
      </c>
      <c r="F53" t="s">
        <v>19</v>
      </c>
      <c r="G53" s="2">
        <v>46141</v>
      </c>
      <c r="H53" s="2">
        <v>46245</v>
      </c>
      <c r="I53" s="3">
        <v>69987744</v>
      </c>
      <c r="J53" t="s">
        <v>20</v>
      </c>
      <c r="K53" s="1">
        <v>46142</v>
      </c>
      <c r="L53" s="3">
        <v>71516276</v>
      </c>
      <c r="M53" s="3">
        <v>70002129.929621994</v>
      </c>
      <c r="N53" s="3">
        <v>70002129.929621994</v>
      </c>
      <c r="O53" s="6" t="s">
        <v>1271</v>
      </c>
      <c r="P53" t="s">
        <v>196</v>
      </c>
      <c r="Q53" s="3">
        <v>103</v>
      </c>
      <c r="R53" s="5">
        <v>0.286111</v>
      </c>
      <c r="S53" s="6" t="s">
        <v>141</v>
      </c>
      <c r="T53" t="s">
        <v>21</v>
      </c>
    </row>
    <row r="54" spans="1:20" x14ac:dyDescent="0.25">
      <c r="A54" t="s">
        <v>32</v>
      </c>
      <c r="B54" t="s">
        <v>33</v>
      </c>
      <c r="C54" t="s">
        <v>34</v>
      </c>
      <c r="D54" t="s">
        <v>35</v>
      </c>
      <c r="E54" t="s">
        <v>1339</v>
      </c>
      <c r="F54" t="s">
        <v>19</v>
      </c>
      <c r="G54" s="2">
        <v>46141</v>
      </c>
      <c r="H54" s="2">
        <v>46245</v>
      </c>
      <c r="I54" s="3">
        <v>50149431</v>
      </c>
      <c r="J54" t="s">
        <v>20</v>
      </c>
      <c r="K54" s="1">
        <v>46142</v>
      </c>
      <c r="L54" s="3">
        <v>51244695</v>
      </c>
      <c r="M54" s="3">
        <v>50159739.827531002</v>
      </c>
      <c r="N54" s="3">
        <v>50159739.827531002</v>
      </c>
      <c r="O54" s="6" t="s">
        <v>1271</v>
      </c>
      <c r="P54" t="s">
        <v>196</v>
      </c>
      <c r="Q54" s="3">
        <v>103</v>
      </c>
      <c r="R54" s="5">
        <v>0.286111</v>
      </c>
      <c r="S54" s="6" t="s">
        <v>141</v>
      </c>
      <c r="T54" t="s">
        <v>21</v>
      </c>
    </row>
    <row r="55" spans="1:20" x14ac:dyDescent="0.25">
      <c r="A55" t="s">
        <v>32</v>
      </c>
      <c r="B55" t="s">
        <v>33</v>
      </c>
      <c r="C55" t="s">
        <v>34</v>
      </c>
      <c r="D55" t="s">
        <v>35</v>
      </c>
      <c r="E55" t="s">
        <v>38</v>
      </c>
      <c r="F55" t="s">
        <v>19</v>
      </c>
      <c r="G55" s="2">
        <v>46050</v>
      </c>
      <c r="H55" s="2">
        <v>46154</v>
      </c>
      <c r="I55" s="3">
        <v>13176832</v>
      </c>
      <c r="J55" t="s">
        <v>20</v>
      </c>
      <c r="K55" s="1">
        <v>46142</v>
      </c>
      <c r="L55" s="3">
        <v>13329024</v>
      </c>
      <c r="M55" s="3">
        <v>13295519.291386001</v>
      </c>
      <c r="N55" s="3">
        <v>13295519.291386001</v>
      </c>
      <c r="O55" s="6" t="s">
        <v>147</v>
      </c>
      <c r="P55" t="s">
        <v>196</v>
      </c>
      <c r="Q55" s="3">
        <v>12</v>
      </c>
      <c r="R55" s="5">
        <v>3.3333000000000002E-2</v>
      </c>
      <c r="S55" s="6" t="s">
        <v>143</v>
      </c>
      <c r="T55" t="s">
        <v>21</v>
      </c>
    </row>
    <row r="56" spans="1:20" x14ac:dyDescent="0.25">
      <c r="A56" t="s">
        <v>32</v>
      </c>
      <c r="B56" t="s">
        <v>33</v>
      </c>
      <c r="C56" t="s">
        <v>34</v>
      </c>
      <c r="D56" t="s">
        <v>35</v>
      </c>
      <c r="E56" t="s">
        <v>38</v>
      </c>
      <c r="F56" t="s">
        <v>19</v>
      </c>
      <c r="G56" s="2">
        <v>46050</v>
      </c>
      <c r="H56" s="2">
        <v>46154</v>
      </c>
      <c r="I56" s="3">
        <v>227539356</v>
      </c>
      <c r="J56" t="s">
        <v>20</v>
      </c>
      <c r="K56" s="1">
        <v>46142</v>
      </c>
      <c r="L56" s="3">
        <v>230842469</v>
      </c>
      <c r="M56" s="3">
        <v>230243835.028925</v>
      </c>
      <c r="N56" s="3">
        <v>230243835.028925</v>
      </c>
      <c r="O56" s="6" t="s">
        <v>147</v>
      </c>
      <c r="P56" t="s">
        <v>196</v>
      </c>
      <c r="Q56" s="3">
        <v>12</v>
      </c>
      <c r="R56" s="5">
        <v>3.3333000000000002E-2</v>
      </c>
      <c r="S56" s="6" t="s">
        <v>143</v>
      </c>
      <c r="T56" t="s">
        <v>21</v>
      </c>
    </row>
    <row r="57" spans="1:20" x14ac:dyDescent="0.25">
      <c r="A57" t="s">
        <v>32</v>
      </c>
      <c r="B57" t="s">
        <v>33</v>
      </c>
      <c r="C57" t="s">
        <v>34</v>
      </c>
      <c r="D57" t="s">
        <v>35</v>
      </c>
      <c r="E57" t="s">
        <v>24</v>
      </c>
      <c r="F57" t="s">
        <v>19</v>
      </c>
      <c r="G57" s="2">
        <v>46051</v>
      </c>
      <c r="H57" s="2">
        <v>46155</v>
      </c>
      <c r="I57" s="3">
        <v>4135621</v>
      </c>
      <c r="J57" t="s">
        <v>20</v>
      </c>
      <c r="K57" s="1">
        <v>46142</v>
      </c>
      <c r="L57" s="3">
        <v>4196552</v>
      </c>
      <c r="M57" s="3">
        <v>4184764.9121639999</v>
      </c>
      <c r="N57" s="3">
        <v>4184764.9121639999</v>
      </c>
      <c r="O57" s="6" t="s">
        <v>452</v>
      </c>
      <c r="P57" t="s">
        <v>196</v>
      </c>
      <c r="Q57" s="3">
        <v>13</v>
      </c>
      <c r="R57" s="5">
        <v>3.6110999999999997E-2</v>
      </c>
      <c r="S57" s="6" t="s">
        <v>143</v>
      </c>
      <c r="T57" t="s">
        <v>21</v>
      </c>
    </row>
    <row r="58" spans="1:20" x14ac:dyDescent="0.25">
      <c r="A58" t="s">
        <v>32</v>
      </c>
      <c r="B58" t="s">
        <v>33</v>
      </c>
      <c r="C58" t="s">
        <v>34</v>
      </c>
      <c r="D58" t="s">
        <v>35</v>
      </c>
      <c r="E58" t="s">
        <v>24</v>
      </c>
      <c r="F58" t="s">
        <v>19</v>
      </c>
      <c r="G58" s="2">
        <v>46051</v>
      </c>
      <c r="H58" s="2">
        <v>46155</v>
      </c>
      <c r="I58" s="3">
        <v>30385839</v>
      </c>
      <c r="J58" t="s">
        <v>20</v>
      </c>
      <c r="K58" s="1">
        <v>46142</v>
      </c>
      <c r="L58" s="3">
        <v>30833524</v>
      </c>
      <c r="M58" s="3">
        <v>30746920.174841002</v>
      </c>
      <c r="N58" s="3">
        <v>30746920.174841002</v>
      </c>
      <c r="O58" s="6" t="s">
        <v>452</v>
      </c>
      <c r="P58" t="s">
        <v>196</v>
      </c>
      <c r="Q58" s="3">
        <v>13</v>
      </c>
      <c r="R58" s="5">
        <v>3.6110999999999997E-2</v>
      </c>
      <c r="S58" s="6" t="s">
        <v>143</v>
      </c>
      <c r="T58" t="s">
        <v>21</v>
      </c>
    </row>
    <row r="59" spans="1:20" x14ac:dyDescent="0.25">
      <c r="A59" t="s">
        <v>32</v>
      </c>
      <c r="B59" t="s">
        <v>33</v>
      </c>
      <c r="C59" t="s">
        <v>34</v>
      </c>
      <c r="D59" t="s">
        <v>35</v>
      </c>
      <c r="E59" t="s">
        <v>24</v>
      </c>
      <c r="F59" t="s">
        <v>19</v>
      </c>
      <c r="G59" s="2">
        <v>46051</v>
      </c>
      <c r="H59" s="2">
        <v>46155</v>
      </c>
      <c r="I59" s="3">
        <v>19034543</v>
      </c>
      <c r="J59" t="s">
        <v>20</v>
      </c>
      <c r="K59" s="1">
        <v>46142</v>
      </c>
      <c r="L59" s="3">
        <v>19314985</v>
      </c>
      <c r="M59" s="3">
        <v>19260733.932755999</v>
      </c>
      <c r="N59" s="3">
        <v>19260733.932755999</v>
      </c>
      <c r="O59" s="6" t="s">
        <v>452</v>
      </c>
      <c r="P59" t="s">
        <v>196</v>
      </c>
      <c r="Q59" s="3">
        <v>13</v>
      </c>
      <c r="R59" s="5">
        <v>3.6110999999999997E-2</v>
      </c>
      <c r="S59" s="6" t="s">
        <v>143</v>
      </c>
      <c r="T59" t="s">
        <v>21</v>
      </c>
    </row>
    <row r="60" spans="1:20" x14ac:dyDescent="0.25">
      <c r="A60" t="s">
        <v>32</v>
      </c>
      <c r="B60" t="s">
        <v>33</v>
      </c>
      <c r="C60" t="s">
        <v>34</v>
      </c>
      <c r="D60" t="s">
        <v>35</v>
      </c>
      <c r="E60" t="s">
        <v>24</v>
      </c>
      <c r="F60" t="s">
        <v>19</v>
      </c>
      <c r="G60" s="2">
        <v>46051</v>
      </c>
      <c r="H60" s="2">
        <v>46155</v>
      </c>
      <c r="I60" s="3">
        <v>158590178</v>
      </c>
      <c r="J60" t="s">
        <v>20</v>
      </c>
      <c r="K60" s="1">
        <v>46142</v>
      </c>
      <c r="L60" s="3">
        <v>160926740</v>
      </c>
      <c r="M60" s="3">
        <v>160474736.15981701</v>
      </c>
      <c r="N60" s="3">
        <v>160474736.15981701</v>
      </c>
      <c r="O60" s="6" t="s">
        <v>452</v>
      </c>
      <c r="P60" t="s">
        <v>196</v>
      </c>
      <c r="Q60" s="3">
        <v>13</v>
      </c>
      <c r="R60" s="5">
        <v>3.6110999999999997E-2</v>
      </c>
      <c r="S60" s="6" t="s">
        <v>143</v>
      </c>
      <c r="T60" t="s">
        <v>21</v>
      </c>
    </row>
    <row r="61" spans="1:20" x14ac:dyDescent="0.25">
      <c r="A61" t="s">
        <v>32</v>
      </c>
      <c r="B61" t="s">
        <v>33</v>
      </c>
      <c r="C61" t="s">
        <v>34</v>
      </c>
      <c r="D61" t="s">
        <v>35</v>
      </c>
      <c r="E61" t="s">
        <v>24</v>
      </c>
      <c r="F61" t="s">
        <v>19</v>
      </c>
      <c r="G61" s="2">
        <v>46051</v>
      </c>
      <c r="H61" s="2">
        <v>46155</v>
      </c>
      <c r="I61" s="3">
        <v>26274449</v>
      </c>
      <c r="J61" t="s">
        <v>20</v>
      </c>
      <c r="K61" s="1">
        <v>46142</v>
      </c>
      <c r="L61" s="3">
        <v>26661559</v>
      </c>
      <c r="M61" s="3">
        <v>26586673.203809001</v>
      </c>
      <c r="N61" s="3">
        <v>26586673.203809001</v>
      </c>
      <c r="O61" s="6" t="s">
        <v>452</v>
      </c>
      <c r="P61" t="s">
        <v>196</v>
      </c>
      <c r="Q61" s="3">
        <v>13</v>
      </c>
      <c r="R61" s="5">
        <v>3.6110999999999997E-2</v>
      </c>
      <c r="S61" s="6" t="s">
        <v>143</v>
      </c>
      <c r="T61" t="s">
        <v>21</v>
      </c>
    </row>
    <row r="62" spans="1:20" x14ac:dyDescent="0.25">
      <c r="A62" t="s">
        <v>32</v>
      </c>
      <c r="B62" t="s">
        <v>33</v>
      </c>
      <c r="C62" t="s">
        <v>34</v>
      </c>
      <c r="D62" t="s">
        <v>35</v>
      </c>
      <c r="E62" t="s">
        <v>24</v>
      </c>
      <c r="F62" t="s">
        <v>19</v>
      </c>
      <c r="G62" s="2">
        <v>46051</v>
      </c>
      <c r="H62" s="2">
        <v>46155</v>
      </c>
      <c r="I62" s="3">
        <v>51625032</v>
      </c>
      <c r="J62" t="s">
        <v>20</v>
      </c>
      <c r="K62" s="1">
        <v>46142</v>
      </c>
      <c r="L62" s="3">
        <v>52385641</v>
      </c>
      <c r="M62" s="3">
        <v>52238502.551147997</v>
      </c>
      <c r="N62" s="3">
        <v>52238502.551147997</v>
      </c>
      <c r="O62" s="6" t="s">
        <v>452</v>
      </c>
      <c r="P62" t="s">
        <v>196</v>
      </c>
      <c r="Q62" s="3">
        <v>13</v>
      </c>
      <c r="R62" s="5">
        <v>3.6110999999999997E-2</v>
      </c>
      <c r="S62" s="6" t="s">
        <v>143</v>
      </c>
      <c r="T62" t="s">
        <v>21</v>
      </c>
    </row>
    <row r="63" spans="1:20" x14ac:dyDescent="0.25">
      <c r="A63" t="s">
        <v>32</v>
      </c>
      <c r="B63" t="s">
        <v>33</v>
      </c>
      <c r="C63" t="s">
        <v>34</v>
      </c>
      <c r="D63" t="s">
        <v>35</v>
      </c>
      <c r="E63" t="s">
        <v>24</v>
      </c>
      <c r="F63" t="s">
        <v>19</v>
      </c>
      <c r="G63" s="2">
        <v>46051</v>
      </c>
      <c r="H63" s="2">
        <v>46155</v>
      </c>
      <c r="I63" s="3">
        <v>42544737</v>
      </c>
      <c r="J63" t="s">
        <v>20</v>
      </c>
      <c r="K63" s="1">
        <v>46142</v>
      </c>
      <c r="L63" s="3">
        <v>43171563</v>
      </c>
      <c r="M63" s="3">
        <v>43050304.641925</v>
      </c>
      <c r="N63" s="3">
        <v>43050304.641925</v>
      </c>
      <c r="O63" s="6" t="s">
        <v>452</v>
      </c>
      <c r="P63" t="s">
        <v>196</v>
      </c>
      <c r="Q63" s="3">
        <v>13</v>
      </c>
      <c r="R63" s="5">
        <v>3.6110999999999997E-2</v>
      </c>
      <c r="S63" s="6" t="s">
        <v>143</v>
      </c>
      <c r="T63" t="s">
        <v>21</v>
      </c>
    </row>
    <row r="64" spans="1:20" x14ac:dyDescent="0.25">
      <c r="A64" t="s">
        <v>32</v>
      </c>
      <c r="B64" t="s">
        <v>33</v>
      </c>
      <c r="C64" t="s">
        <v>34</v>
      </c>
      <c r="D64" t="s">
        <v>35</v>
      </c>
      <c r="E64" t="s">
        <v>1340</v>
      </c>
      <c r="F64" t="s">
        <v>19</v>
      </c>
      <c r="G64" s="2">
        <v>46118</v>
      </c>
      <c r="H64" s="2">
        <v>46216</v>
      </c>
      <c r="I64" s="3">
        <v>111070649</v>
      </c>
      <c r="J64" t="s">
        <v>20</v>
      </c>
      <c r="K64" s="1">
        <v>46142</v>
      </c>
      <c r="L64" s="3">
        <v>113356483</v>
      </c>
      <c r="M64" s="3">
        <v>111621879.00033499</v>
      </c>
      <c r="N64" s="3">
        <v>111621879.00033499</v>
      </c>
      <c r="O64" s="6" t="s">
        <v>144</v>
      </c>
      <c r="P64" t="s">
        <v>196</v>
      </c>
      <c r="Q64" s="3">
        <v>74</v>
      </c>
      <c r="R64" s="5">
        <v>0.20555499999999999</v>
      </c>
      <c r="S64" s="6" t="s">
        <v>145</v>
      </c>
      <c r="T64" t="s">
        <v>21</v>
      </c>
    </row>
    <row r="65" spans="1:20" x14ac:dyDescent="0.25">
      <c r="A65" t="s">
        <v>32</v>
      </c>
      <c r="B65" t="s">
        <v>33</v>
      </c>
      <c r="C65" t="s">
        <v>34</v>
      </c>
      <c r="D65" t="s">
        <v>35</v>
      </c>
      <c r="E65" t="s">
        <v>25</v>
      </c>
      <c r="F65" t="s">
        <v>19</v>
      </c>
      <c r="G65" s="2">
        <v>46051</v>
      </c>
      <c r="H65" s="2">
        <v>46156</v>
      </c>
      <c r="I65" s="3">
        <v>71802737</v>
      </c>
      <c r="J65" t="s">
        <v>20</v>
      </c>
      <c r="K65" s="1">
        <v>46142</v>
      </c>
      <c r="L65" s="3">
        <v>72876188</v>
      </c>
      <c r="M65" s="3">
        <v>72655798.743809998</v>
      </c>
      <c r="N65" s="3">
        <v>72655798.743809998</v>
      </c>
      <c r="O65" s="6" t="s">
        <v>452</v>
      </c>
      <c r="P65" t="s">
        <v>196</v>
      </c>
      <c r="Q65" s="3">
        <v>14</v>
      </c>
      <c r="R65" s="5">
        <v>3.8887999999999999E-2</v>
      </c>
      <c r="S65" s="6" t="s">
        <v>143</v>
      </c>
      <c r="T65" t="s">
        <v>21</v>
      </c>
    </row>
    <row r="66" spans="1:20" x14ac:dyDescent="0.25">
      <c r="A66" t="s">
        <v>32</v>
      </c>
      <c r="B66" t="s">
        <v>33</v>
      </c>
      <c r="C66" t="s">
        <v>34</v>
      </c>
      <c r="D66" t="s">
        <v>35</v>
      </c>
      <c r="E66" t="s">
        <v>25</v>
      </c>
      <c r="F66" t="s">
        <v>19</v>
      </c>
      <c r="G66" s="2">
        <v>46051</v>
      </c>
      <c r="H66" s="2">
        <v>46156</v>
      </c>
      <c r="I66" s="3">
        <v>115396487</v>
      </c>
      <c r="J66" t="s">
        <v>20</v>
      </c>
      <c r="K66" s="1">
        <v>46142</v>
      </c>
      <c r="L66" s="3">
        <v>117121664</v>
      </c>
      <c r="M66" s="3">
        <v>116767469.34299301</v>
      </c>
      <c r="N66" s="3">
        <v>116767469.34299301</v>
      </c>
      <c r="O66" s="6" t="s">
        <v>452</v>
      </c>
      <c r="P66" t="s">
        <v>196</v>
      </c>
      <c r="Q66" s="3">
        <v>14</v>
      </c>
      <c r="R66" s="5">
        <v>3.8887999999999999E-2</v>
      </c>
      <c r="S66" s="6" t="s">
        <v>143</v>
      </c>
      <c r="T66" t="s">
        <v>21</v>
      </c>
    </row>
    <row r="67" spans="1:20" x14ac:dyDescent="0.25">
      <c r="A67" t="s">
        <v>32</v>
      </c>
      <c r="B67" t="s">
        <v>33</v>
      </c>
      <c r="C67" t="s">
        <v>34</v>
      </c>
      <c r="D67" t="s">
        <v>35</v>
      </c>
      <c r="E67" t="s">
        <v>25</v>
      </c>
      <c r="F67" t="s">
        <v>19</v>
      </c>
      <c r="G67" s="2">
        <v>46051</v>
      </c>
      <c r="H67" s="2">
        <v>46156</v>
      </c>
      <c r="I67" s="3">
        <v>41081488</v>
      </c>
      <c r="J67" t="s">
        <v>20</v>
      </c>
      <c r="K67" s="1">
        <v>46142</v>
      </c>
      <c r="L67" s="3">
        <v>41695656</v>
      </c>
      <c r="M67" s="3">
        <v>41569561.662955999</v>
      </c>
      <c r="N67" s="3">
        <v>41569561.662955999</v>
      </c>
      <c r="O67" s="6" t="s">
        <v>452</v>
      </c>
      <c r="P67" t="s">
        <v>196</v>
      </c>
      <c r="Q67" s="3">
        <v>14</v>
      </c>
      <c r="R67" s="5">
        <v>3.8887999999999999E-2</v>
      </c>
      <c r="S67" s="6" t="s">
        <v>143</v>
      </c>
      <c r="T67" t="s">
        <v>21</v>
      </c>
    </row>
    <row r="68" spans="1:20" x14ac:dyDescent="0.25">
      <c r="A68" t="s">
        <v>32</v>
      </c>
      <c r="B68" t="s">
        <v>33</v>
      </c>
      <c r="C68" t="s">
        <v>34</v>
      </c>
      <c r="D68" t="s">
        <v>35</v>
      </c>
      <c r="E68" t="s">
        <v>25</v>
      </c>
      <c r="F68" t="s">
        <v>19</v>
      </c>
      <c r="G68" s="2">
        <v>46051</v>
      </c>
      <c r="H68" s="2">
        <v>46156</v>
      </c>
      <c r="I68" s="3">
        <v>173717009</v>
      </c>
      <c r="J68" t="s">
        <v>20</v>
      </c>
      <c r="K68" s="1">
        <v>46142</v>
      </c>
      <c r="L68" s="3">
        <v>176314078</v>
      </c>
      <c r="M68" s="3">
        <v>175780876.00943801</v>
      </c>
      <c r="N68" s="3">
        <v>175780876.00943801</v>
      </c>
      <c r="O68" s="6" t="s">
        <v>452</v>
      </c>
      <c r="P68" t="s">
        <v>196</v>
      </c>
      <c r="Q68" s="3">
        <v>14</v>
      </c>
      <c r="R68" s="5">
        <v>3.8887999999999999E-2</v>
      </c>
      <c r="S68" s="6" t="s">
        <v>143</v>
      </c>
      <c r="T68" t="s">
        <v>21</v>
      </c>
    </row>
    <row r="69" spans="1:20" x14ac:dyDescent="0.25">
      <c r="A69" t="s">
        <v>32</v>
      </c>
      <c r="B69" t="s">
        <v>33</v>
      </c>
      <c r="C69" t="s">
        <v>34</v>
      </c>
      <c r="D69" t="s">
        <v>35</v>
      </c>
      <c r="E69" t="s">
        <v>26</v>
      </c>
      <c r="F69" t="s">
        <v>19</v>
      </c>
      <c r="G69" s="2">
        <v>46052</v>
      </c>
      <c r="H69" s="2">
        <v>46157</v>
      </c>
      <c r="I69" s="3">
        <v>54393828</v>
      </c>
      <c r="J69" t="s">
        <v>20</v>
      </c>
      <c r="K69" s="1">
        <v>46142</v>
      </c>
      <c r="L69" s="3">
        <v>54736509</v>
      </c>
      <c r="M69" s="3">
        <v>54564630.414195001</v>
      </c>
      <c r="N69" s="3">
        <v>54564630.414195001</v>
      </c>
      <c r="O69" s="6" t="s">
        <v>521</v>
      </c>
      <c r="P69" t="s">
        <v>196</v>
      </c>
      <c r="Q69" s="3">
        <v>15</v>
      </c>
      <c r="R69" s="5">
        <v>4.1666000000000002E-2</v>
      </c>
      <c r="S69" s="6" t="s">
        <v>143</v>
      </c>
      <c r="T69" t="s">
        <v>21</v>
      </c>
    </row>
    <row r="70" spans="1:20" x14ac:dyDescent="0.25">
      <c r="A70" t="s">
        <v>32</v>
      </c>
      <c r="B70" t="s">
        <v>33</v>
      </c>
      <c r="C70" t="s">
        <v>34</v>
      </c>
      <c r="D70" t="s">
        <v>35</v>
      </c>
      <c r="E70" t="s">
        <v>26</v>
      </c>
      <c r="F70" t="s">
        <v>19</v>
      </c>
      <c r="G70" s="2">
        <v>46052</v>
      </c>
      <c r="H70" s="2">
        <v>46157</v>
      </c>
      <c r="I70" s="3">
        <v>100039143</v>
      </c>
      <c r="J70" t="s">
        <v>20</v>
      </c>
      <c r="K70" s="1">
        <v>46142</v>
      </c>
      <c r="L70" s="3">
        <v>101556403</v>
      </c>
      <c r="M70" s="3">
        <v>101227413.904809</v>
      </c>
      <c r="N70" s="3">
        <v>101227413.904809</v>
      </c>
      <c r="O70" s="6" t="s">
        <v>521</v>
      </c>
      <c r="P70" t="s">
        <v>196</v>
      </c>
      <c r="Q70" s="3">
        <v>15</v>
      </c>
      <c r="R70" s="5">
        <v>4.1666000000000002E-2</v>
      </c>
      <c r="S70" s="6" t="s">
        <v>143</v>
      </c>
      <c r="T70" t="s">
        <v>21</v>
      </c>
    </row>
    <row r="71" spans="1:20" x14ac:dyDescent="0.25">
      <c r="A71" t="s">
        <v>32</v>
      </c>
      <c r="B71" t="s">
        <v>33</v>
      </c>
      <c r="C71" t="s">
        <v>34</v>
      </c>
      <c r="D71" t="s">
        <v>35</v>
      </c>
      <c r="E71" t="s">
        <v>26</v>
      </c>
      <c r="F71" t="s">
        <v>19</v>
      </c>
      <c r="G71" s="2">
        <v>46052</v>
      </c>
      <c r="H71" s="2">
        <v>46157</v>
      </c>
      <c r="I71" s="3">
        <v>93774294</v>
      </c>
      <c r="J71" t="s">
        <v>20</v>
      </c>
      <c r="K71" s="1">
        <v>46142</v>
      </c>
      <c r="L71" s="3">
        <v>94207531</v>
      </c>
      <c r="M71" s="3">
        <v>93911709.116283998</v>
      </c>
      <c r="N71" s="3">
        <v>93911709.116283998</v>
      </c>
      <c r="O71" s="6" t="s">
        <v>521</v>
      </c>
      <c r="P71" t="s">
        <v>196</v>
      </c>
      <c r="Q71" s="3">
        <v>15</v>
      </c>
      <c r="R71" s="5">
        <v>4.1666000000000002E-2</v>
      </c>
      <c r="S71" s="6" t="s">
        <v>143</v>
      </c>
      <c r="T71" t="s">
        <v>21</v>
      </c>
    </row>
    <row r="72" spans="1:20" x14ac:dyDescent="0.25">
      <c r="A72" t="s">
        <v>32</v>
      </c>
      <c r="B72" t="s">
        <v>33</v>
      </c>
      <c r="C72" t="s">
        <v>34</v>
      </c>
      <c r="D72" t="s">
        <v>35</v>
      </c>
      <c r="E72" t="s">
        <v>26</v>
      </c>
      <c r="F72" t="s">
        <v>19</v>
      </c>
      <c r="G72" s="2">
        <v>46052</v>
      </c>
      <c r="H72" s="2">
        <v>46157</v>
      </c>
      <c r="I72" s="3">
        <v>82510583</v>
      </c>
      <c r="J72" t="s">
        <v>20</v>
      </c>
      <c r="K72" s="1">
        <v>46142</v>
      </c>
      <c r="L72" s="3">
        <v>83761994</v>
      </c>
      <c r="M72" s="3">
        <v>83490649.389484003</v>
      </c>
      <c r="N72" s="3">
        <v>83490649.389484003</v>
      </c>
      <c r="O72" s="6" t="s">
        <v>521</v>
      </c>
      <c r="P72" t="s">
        <v>196</v>
      </c>
      <c r="Q72" s="3">
        <v>15</v>
      </c>
      <c r="R72" s="5">
        <v>4.1666000000000002E-2</v>
      </c>
      <c r="S72" s="6" t="s">
        <v>143</v>
      </c>
      <c r="T72" t="s">
        <v>21</v>
      </c>
    </row>
    <row r="73" spans="1:20" x14ac:dyDescent="0.25">
      <c r="A73" t="s">
        <v>32</v>
      </c>
      <c r="B73" t="s">
        <v>33</v>
      </c>
      <c r="C73" t="s">
        <v>34</v>
      </c>
      <c r="D73" t="s">
        <v>35</v>
      </c>
      <c r="E73" t="s">
        <v>1296</v>
      </c>
      <c r="F73" t="s">
        <v>19</v>
      </c>
      <c r="G73" s="2">
        <v>46092</v>
      </c>
      <c r="H73" s="2">
        <v>46190</v>
      </c>
      <c r="I73" s="3">
        <v>50693875</v>
      </c>
      <c r="J73" t="s">
        <v>20</v>
      </c>
      <c r="K73" s="1">
        <v>46142</v>
      </c>
      <c r="L73" s="3">
        <v>51770275</v>
      </c>
      <c r="M73" s="3">
        <v>51237405.977830999</v>
      </c>
      <c r="N73" s="3">
        <v>51237405.977830999</v>
      </c>
      <c r="O73" s="6" t="s">
        <v>454</v>
      </c>
      <c r="P73" t="s">
        <v>196</v>
      </c>
      <c r="Q73" s="3">
        <v>48</v>
      </c>
      <c r="R73" s="5">
        <v>0.13333300000000001</v>
      </c>
      <c r="S73" s="6" t="s">
        <v>145</v>
      </c>
      <c r="T73" t="s">
        <v>21</v>
      </c>
    </row>
    <row r="74" spans="1:20" x14ac:dyDescent="0.25">
      <c r="A74" t="s">
        <v>32</v>
      </c>
      <c r="B74" t="s">
        <v>33</v>
      </c>
      <c r="C74" t="s">
        <v>34</v>
      </c>
      <c r="D74" t="s">
        <v>35</v>
      </c>
      <c r="E74" t="s">
        <v>27</v>
      </c>
      <c r="F74" t="s">
        <v>19</v>
      </c>
      <c r="G74" s="2">
        <v>46052</v>
      </c>
      <c r="H74" s="2">
        <v>46160</v>
      </c>
      <c r="I74" s="3">
        <v>50083219</v>
      </c>
      <c r="J74" t="s">
        <v>20</v>
      </c>
      <c r="K74" s="1">
        <v>46142</v>
      </c>
      <c r="L74" s="3">
        <v>50430296</v>
      </c>
      <c r="M74" s="3">
        <v>50240387.335869998</v>
      </c>
      <c r="N74" s="3">
        <v>50240387.335869998</v>
      </c>
      <c r="O74" s="6" t="s">
        <v>452</v>
      </c>
      <c r="P74" t="s">
        <v>196</v>
      </c>
      <c r="Q74" s="3">
        <v>18</v>
      </c>
      <c r="R74" s="5">
        <v>0.05</v>
      </c>
      <c r="S74" s="6" t="s">
        <v>143</v>
      </c>
      <c r="T74" t="s">
        <v>21</v>
      </c>
    </row>
    <row r="75" spans="1:20" x14ac:dyDescent="0.25">
      <c r="A75" t="s">
        <v>32</v>
      </c>
      <c r="B75" t="s">
        <v>33</v>
      </c>
      <c r="C75" t="s">
        <v>34</v>
      </c>
      <c r="D75" t="s">
        <v>35</v>
      </c>
      <c r="E75" t="s">
        <v>1297</v>
      </c>
      <c r="F75" t="s">
        <v>19</v>
      </c>
      <c r="G75" s="2">
        <v>46093</v>
      </c>
      <c r="H75" s="2">
        <v>46191</v>
      </c>
      <c r="I75" s="3">
        <v>18761499</v>
      </c>
      <c r="J75" t="s">
        <v>20</v>
      </c>
      <c r="K75" s="1">
        <v>46142</v>
      </c>
      <c r="L75" s="3">
        <v>19147611</v>
      </c>
      <c r="M75" s="3">
        <v>18952588.860624</v>
      </c>
      <c r="N75" s="3">
        <v>18952588.860624</v>
      </c>
      <c r="O75" s="6" t="s">
        <v>454</v>
      </c>
      <c r="P75" t="s">
        <v>196</v>
      </c>
      <c r="Q75" s="3">
        <v>49</v>
      </c>
      <c r="R75" s="5">
        <v>0.13611100000000001</v>
      </c>
      <c r="S75" s="6" t="s">
        <v>145</v>
      </c>
      <c r="T75" t="s">
        <v>21</v>
      </c>
    </row>
    <row r="76" spans="1:20" x14ac:dyDescent="0.25">
      <c r="A76" t="s">
        <v>32</v>
      </c>
      <c r="B76" t="s">
        <v>33</v>
      </c>
      <c r="C76" t="s">
        <v>34</v>
      </c>
      <c r="D76" t="s">
        <v>35</v>
      </c>
      <c r="E76" t="s">
        <v>71</v>
      </c>
      <c r="F76" t="s">
        <v>19</v>
      </c>
      <c r="G76" s="2">
        <v>46062</v>
      </c>
      <c r="H76" s="2">
        <v>46162</v>
      </c>
      <c r="I76" s="3">
        <v>14596516</v>
      </c>
      <c r="J76" t="s">
        <v>20</v>
      </c>
      <c r="K76" s="1">
        <v>46142</v>
      </c>
      <c r="L76" s="3">
        <v>14719127</v>
      </c>
      <c r="M76" s="3">
        <v>14657565.226051001</v>
      </c>
      <c r="N76" s="3">
        <v>14657565.226051001</v>
      </c>
      <c r="O76" s="6" t="s">
        <v>1341</v>
      </c>
      <c r="P76" t="s">
        <v>196</v>
      </c>
      <c r="Q76" s="3">
        <v>20</v>
      </c>
      <c r="R76" s="5">
        <v>5.5555E-2</v>
      </c>
      <c r="S76" s="6" t="s">
        <v>143</v>
      </c>
      <c r="T76" t="s">
        <v>21</v>
      </c>
    </row>
    <row r="77" spans="1:20" x14ac:dyDescent="0.25">
      <c r="A77" t="s">
        <v>32</v>
      </c>
      <c r="B77" t="s">
        <v>33</v>
      </c>
      <c r="C77" t="s">
        <v>34</v>
      </c>
      <c r="D77" t="s">
        <v>35</v>
      </c>
      <c r="E77" t="s">
        <v>1342</v>
      </c>
      <c r="F77" t="s">
        <v>19</v>
      </c>
      <c r="G77" s="2">
        <v>46122</v>
      </c>
      <c r="H77" s="2">
        <v>46223</v>
      </c>
      <c r="I77" s="3">
        <v>22344536</v>
      </c>
      <c r="J77" t="s">
        <v>20</v>
      </c>
      <c r="K77" s="1">
        <v>46142</v>
      </c>
      <c r="L77" s="3">
        <v>22818464</v>
      </c>
      <c r="M77" s="3">
        <v>22436813.797308002</v>
      </c>
      <c r="N77" s="3">
        <v>22436813.797308002</v>
      </c>
      <c r="O77" s="6" t="s">
        <v>1264</v>
      </c>
      <c r="P77" t="s">
        <v>196</v>
      </c>
      <c r="Q77" s="3">
        <v>81</v>
      </c>
      <c r="R77" s="5">
        <v>0.22500000000000001</v>
      </c>
      <c r="S77" s="6" t="s">
        <v>145</v>
      </c>
      <c r="T77" t="s">
        <v>21</v>
      </c>
    </row>
    <row r="78" spans="1:20" x14ac:dyDescent="0.25">
      <c r="A78" t="s">
        <v>32</v>
      </c>
      <c r="B78" t="s">
        <v>33</v>
      </c>
      <c r="C78" t="s">
        <v>34</v>
      </c>
      <c r="D78" t="s">
        <v>35</v>
      </c>
      <c r="E78" t="s">
        <v>1342</v>
      </c>
      <c r="F78" t="s">
        <v>19</v>
      </c>
      <c r="G78" s="2">
        <v>46122</v>
      </c>
      <c r="H78" s="2">
        <v>46223</v>
      </c>
      <c r="I78" s="3">
        <v>120576411</v>
      </c>
      <c r="J78" t="s">
        <v>20</v>
      </c>
      <c r="K78" s="1">
        <v>46142</v>
      </c>
      <c r="L78" s="3">
        <v>123133837</v>
      </c>
      <c r="M78" s="3">
        <v>121074362.100668</v>
      </c>
      <c r="N78" s="3">
        <v>121074362.100668</v>
      </c>
      <c r="O78" s="6" t="s">
        <v>1264</v>
      </c>
      <c r="P78" t="s">
        <v>196</v>
      </c>
      <c r="Q78" s="3">
        <v>81</v>
      </c>
      <c r="R78" s="5">
        <v>0.22500000000000001</v>
      </c>
      <c r="S78" s="6" t="s">
        <v>145</v>
      </c>
      <c r="T78" t="s">
        <v>21</v>
      </c>
    </row>
    <row r="79" spans="1:20" x14ac:dyDescent="0.25">
      <c r="A79" t="s">
        <v>32</v>
      </c>
      <c r="B79" t="s">
        <v>33</v>
      </c>
      <c r="C79" t="s">
        <v>34</v>
      </c>
      <c r="D79" t="s">
        <v>35</v>
      </c>
      <c r="E79" t="s">
        <v>1332</v>
      </c>
      <c r="F79" t="s">
        <v>19</v>
      </c>
      <c r="G79" s="2">
        <v>46125</v>
      </c>
      <c r="H79" s="2">
        <v>46224</v>
      </c>
      <c r="I79" s="3">
        <v>35862219</v>
      </c>
      <c r="J79" t="s">
        <v>20</v>
      </c>
      <c r="K79" s="1">
        <v>46142</v>
      </c>
      <c r="L79" s="3">
        <v>36607795</v>
      </c>
      <c r="M79" s="3">
        <v>35988080.257958002</v>
      </c>
      <c r="N79" s="3">
        <v>35988080.257958002</v>
      </c>
      <c r="O79" s="6" t="s">
        <v>373</v>
      </c>
      <c r="P79" t="s">
        <v>196</v>
      </c>
      <c r="Q79" s="3">
        <v>82</v>
      </c>
      <c r="R79" s="5">
        <v>0.22777700000000001</v>
      </c>
      <c r="S79" s="6" t="s">
        <v>145</v>
      </c>
      <c r="T79" t="s">
        <v>21</v>
      </c>
    </row>
    <row r="80" spans="1:20" x14ac:dyDescent="0.25">
      <c r="A80" t="s">
        <v>32</v>
      </c>
      <c r="B80" t="s">
        <v>33</v>
      </c>
      <c r="C80" t="s">
        <v>34</v>
      </c>
      <c r="D80" t="s">
        <v>35</v>
      </c>
      <c r="E80" t="s">
        <v>1332</v>
      </c>
      <c r="F80" t="s">
        <v>19</v>
      </c>
      <c r="G80" s="2">
        <v>46125</v>
      </c>
      <c r="H80" s="2">
        <v>46224</v>
      </c>
      <c r="I80" s="3">
        <v>46418557</v>
      </c>
      <c r="J80" t="s">
        <v>20</v>
      </c>
      <c r="K80" s="1">
        <v>46142</v>
      </c>
      <c r="L80" s="3">
        <v>47237380</v>
      </c>
      <c r="M80" s="3">
        <v>46437722.419928998</v>
      </c>
      <c r="N80" s="3">
        <v>46437722.419928998</v>
      </c>
      <c r="O80" s="6" t="s">
        <v>373</v>
      </c>
      <c r="P80" t="s">
        <v>196</v>
      </c>
      <c r="Q80" s="3">
        <v>82</v>
      </c>
      <c r="R80" s="5">
        <v>0.22777700000000001</v>
      </c>
      <c r="S80" s="6" t="s">
        <v>145</v>
      </c>
      <c r="T80" t="s">
        <v>21</v>
      </c>
    </row>
    <row r="81" spans="1:20" x14ac:dyDescent="0.25">
      <c r="A81" t="s">
        <v>32</v>
      </c>
      <c r="B81" t="s">
        <v>33</v>
      </c>
      <c r="C81" t="s">
        <v>34</v>
      </c>
      <c r="D81" t="s">
        <v>35</v>
      </c>
      <c r="E81" t="s">
        <v>1332</v>
      </c>
      <c r="F81" t="s">
        <v>19</v>
      </c>
      <c r="G81" s="2">
        <v>46125</v>
      </c>
      <c r="H81" s="2">
        <v>46224</v>
      </c>
      <c r="I81" s="3">
        <v>41653649</v>
      </c>
      <c r="J81" t="s">
        <v>20</v>
      </c>
      <c r="K81" s="1">
        <v>46142</v>
      </c>
      <c r="L81" s="3">
        <v>42519628</v>
      </c>
      <c r="M81" s="3">
        <v>41799834.843987003</v>
      </c>
      <c r="N81" s="3">
        <v>41799834.843987003</v>
      </c>
      <c r="O81" s="6" t="s">
        <v>373</v>
      </c>
      <c r="P81" t="s">
        <v>196</v>
      </c>
      <c r="Q81" s="3">
        <v>82</v>
      </c>
      <c r="R81" s="5">
        <v>0.22777700000000001</v>
      </c>
      <c r="S81" s="6" t="s">
        <v>145</v>
      </c>
      <c r="T81" t="s">
        <v>21</v>
      </c>
    </row>
    <row r="82" spans="1:20" x14ac:dyDescent="0.25">
      <c r="A82" t="s">
        <v>32</v>
      </c>
      <c r="B82" t="s">
        <v>33</v>
      </c>
      <c r="C82" t="s">
        <v>34</v>
      </c>
      <c r="D82" t="s">
        <v>35</v>
      </c>
      <c r="E82" t="s">
        <v>1343</v>
      </c>
      <c r="F82" t="s">
        <v>19</v>
      </c>
      <c r="G82" s="2">
        <v>46126</v>
      </c>
      <c r="H82" s="2">
        <v>46225</v>
      </c>
      <c r="I82" s="3">
        <v>70664909</v>
      </c>
      <c r="J82" t="s">
        <v>20</v>
      </c>
      <c r="K82" s="1">
        <v>46142</v>
      </c>
      <c r="L82" s="3">
        <v>72134032</v>
      </c>
      <c r="M82" s="3">
        <v>70898275.065605998</v>
      </c>
      <c r="N82" s="3">
        <v>70898275.065605998</v>
      </c>
      <c r="O82" s="6" t="s">
        <v>521</v>
      </c>
      <c r="P82" t="s">
        <v>196</v>
      </c>
      <c r="Q82" s="3">
        <v>83</v>
      </c>
      <c r="R82" s="5">
        <v>0.23055500000000001</v>
      </c>
      <c r="S82" s="6" t="s">
        <v>145</v>
      </c>
      <c r="T82" t="s">
        <v>21</v>
      </c>
    </row>
    <row r="83" spans="1:20" x14ac:dyDescent="0.25">
      <c r="A83" t="s">
        <v>32</v>
      </c>
      <c r="B83" t="s">
        <v>33</v>
      </c>
      <c r="C83" t="s">
        <v>34</v>
      </c>
      <c r="D83" t="s">
        <v>35</v>
      </c>
      <c r="E83" t="s">
        <v>1343</v>
      </c>
      <c r="F83" t="s">
        <v>19</v>
      </c>
      <c r="G83" s="2">
        <v>46126</v>
      </c>
      <c r="H83" s="2">
        <v>46225</v>
      </c>
      <c r="I83" s="3">
        <v>26777365</v>
      </c>
      <c r="J83" t="s">
        <v>20</v>
      </c>
      <c r="K83" s="1">
        <v>46142</v>
      </c>
      <c r="L83" s="3">
        <v>27328443</v>
      </c>
      <c r="M83" s="3">
        <v>26860268.519701999</v>
      </c>
      <c r="N83" s="3">
        <v>26860268.519701999</v>
      </c>
      <c r="O83" s="6" t="s">
        <v>521</v>
      </c>
      <c r="P83" t="s">
        <v>196</v>
      </c>
      <c r="Q83" s="3">
        <v>83</v>
      </c>
      <c r="R83" s="5">
        <v>0.23055500000000001</v>
      </c>
      <c r="S83" s="6" t="s">
        <v>145</v>
      </c>
      <c r="T83" t="s">
        <v>21</v>
      </c>
    </row>
    <row r="84" spans="1:20" x14ac:dyDescent="0.25">
      <c r="A84" t="s">
        <v>32</v>
      </c>
      <c r="B84" t="s">
        <v>33</v>
      </c>
      <c r="C84" t="s">
        <v>34</v>
      </c>
      <c r="D84" t="s">
        <v>35</v>
      </c>
      <c r="E84" t="s">
        <v>1343</v>
      </c>
      <c r="F84" t="s">
        <v>19</v>
      </c>
      <c r="G84" s="2">
        <v>46126</v>
      </c>
      <c r="H84" s="2">
        <v>46225</v>
      </c>
      <c r="I84" s="3">
        <v>81211183</v>
      </c>
      <c r="J84" t="s">
        <v>20</v>
      </c>
      <c r="K84" s="1">
        <v>46142</v>
      </c>
      <c r="L84" s="3">
        <v>82899563</v>
      </c>
      <c r="M84" s="3">
        <v>81479377.451029003</v>
      </c>
      <c r="N84" s="3">
        <v>81479377.451029003</v>
      </c>
      <c r="O84" s="6" t="s">
        <v>521</v>
      </c>
      <c r="P84" t="s">
        <v>196</v>
      </c>
      <c r="Q84" s="3">
        <v>83</v>
      </c>
      <c r="R84" s="5">
        <v>0.23055500000000001</v>
      </c>
      <c r="S84" s="6" t="s">
        <v>145</v>
      </c>
      <c r="T84" t="s">
        <v>21</v>
      </c>
    </row>
    <row r="85" spans="1:20" x14ac:dyDescent="0.25">
      <c r="A85" t="s">
        <v>32</v>
      </c>
      <c r="B85" t="s">
        <v>33</v>
      </c>
      <c r="C85" t="s">
        <v>34</v>
      </c>
      <c r="D85" t="s">
        <v>35</v>
      </c>
      <c r="E85" t="s">
        <v>1343</v>
      </c>
      <c r="F85" t="s">
        <v>19</v>
      </c>
      <c r="G85" s="2">
        <v>46126</v>
      </c>
      <c r="H85" s="2">
        <v>46225</v>
      </c>
      <c r="I85" s="3">
        <v>73175022</v>
      </c>
      <c r="J85" t="s">
        <v>20</v>
      </c>
      <c r="K85" s="1">
        <v>46142</v>
      </c>
      <c r="L85" s="3">
        <v>74696331</v>
      </c>
      <c r="M85" s="3">
        <v>73416678.297278002</v>
      </c>
      <c r="N85" s="3">
        <v>73416678.297278002</v>
      </c>
      <c r="O85" s="6" t="s">
        <v>521</v>
      </c>
      <c r="P85" t="s">
        <v>196</v>
      </c>
      <c r="Q85" s="3">
        <v>83</v>
      </c>
      <c r="R85" s="5">
        <v>0.23055500000000001</v>
      </c>
      <c r="S85" s="6" t="s">
        <v>145</v>
      </c>
      <c r="T85" t="s">
        <v>21</v>
      </c>
    </row>
    <row r="86" spans="1:20" x14ac:dyDescent="0.25">
      <c r="A86" t="s">
        <v>32</v>
      </c>
      <c r="B86" t="s">
        <v>33</v>
      </c>
      <c r="C86" t="s">
        <v>34</v>
      </c>
      <c r="D86" t="s">
        <v>35</v>
      </c>
      <c r="E86" t="s">
        <v>1343</v>
      </c>
      <c r="F86" t="s">
        <v>19</v>
      </c>
      <c r="G86" s="2">
        <v>46126</v>
      </c>
      <c r="H86" s="2">
        <v>46225</v>
      </c>
      <c r="I86" s="3">
        <v>21909569</v>
      </c>
      <c r="J86" t="s">
        <v>20</v>
      </c>
      <c r="K86" s="1">
        <v>46142</v>
      </c>
      <c r="L86" s="3">
        <v>22365069</v>
      </c>
      <c r="M86" s="3">
        <v>21981924.063572001</v>
      </c>
      <c r="N86" s="3">
        <v>21981924.063572001</v>
      </c>
      <c r="O86" s="6" t="s">
        <v>521</v>
      </c>
      <c r="P86" t="s">
        <v>196</v>
      </c>
      <c r="Q86" s="3">
        <v>83</v>
      </c>
      <c r="R86" s="5">
        <v>0.23055500000000001</v>
      </c>
      <c r="S86" s="6" t="s">
        <v>145</v>
      </c>
      <c r="T86" t="s">
        <v>21</v>
      </c>
    </row>
    <row r="87" spans="1:20" x14ac:dyDescent="0.25">
      <c r="A87" t="s">
        <v>32</v>
      </c>
      <c r="B87" t="s">
        <v>33</v>
      </c>
      <c r="C87" t="s">
        <v>34</v>
      </c>
      <c r="D87" t="s">
        <v>35</v>
      </c>
      <c r="E87" t="s">
        <v>1298</v>
      </c>
      <c r="F87" t="s">
        <v>19</v>
      </c>
      <c r="G87" s="2">
        <v>46098</v>
      </c>
      <c r="H87" s="2">
        <v>46196</v>
      </c>
      <c r="I87" s="3">
        <v>53425498</v>
      </c>
      <c r="J87" t="s">
        <v>20</v>
      </c>
      <c r="K87" s="1">
        <v>46142</v>
      </c>
      <c r="L87" s="3">
        <v>54524995</v>
      </c>
      <c r="M87" s="3">
        <v>53913614.610319003</v>
      </c>
      <c r="N87" s="3">
        <v>53913614.610319003</v>
      </c>
      <c r="O87" s="6" t="s">
        <v>248</v>
      </c>
      <c r="P87" t="s">
        <v>196</v>
      </c>
      <c r="Q87" s="3">
        <v>54</v>
      </c>
      <c r="R87" s="5">
        <v>0.15</v>
      </c>
      <c r="S87" s="6" t="s">
        <v>145</v>
      </c>
      <c r="T87" t="s">
        <v>21</v>
      </c>
    </row>
    <row r="88" spans="1:20" x14ac:dyDescent="0.25">
      <c r="A88" t="s">
        <v>32</v>
      </c>
      <c r="B88" t="s">
        <v>33</v>
      </c>
      <c r="C88" t="s">
        <v>34</v>
      </c>
      <c r="D88" t="s">
        <v>35</v>
      </c>
      <c r="E88" t="s">
        <v>1298</v>
      </c>
      <c r="F88" t="s">
        <v>19</v>
      </c>
      <c r="G88" s="2">
        <v>46098</v>
      </c>
      <c r="H88" s="2">
        <v>46196</v>
      </c>
      <c r="I88" s="3">
        <v>36714724</v>
      </c>
      <c r="J88" t="s">
        <v>20</v>
      </c>
      <c r="K88" s="1">
        <v>46142</v>
      </c>
      <c r="L88" s="3">
        <v>37470313</v>
      </c>
      <c r="M88" s="3">
        <v>37050164.138668001</v>
      </c>
      <c r="N88" s="3">
        <v>37050164.138668001</v>
      </c>
      <c r="O88" s="6" t="s">
        <v>248</v>
      </c>
      <c r="P88" t="s">
        <v>196</v>
      </c>
      <c r="Q88" s="3">
        <v>54</v>
      </c>
      <c r="R88" s="5">
        <v>0.15</v>
      </c>
      <c r="S88" s="6" t="s">
        <v>145</v>
      </c>
      <c r="T88" t="s">
        <v>21</v>
      </c>
    </row>
    <row r="89" spans="1:20" x14ac:dyDescent="0.25">
      <c r="A89" t="s">
        <v>32</v>
      </c>
      <c r="B89" t="s">
        <v>33</v>
      </c>
      <c r="C89" t="s">
        <v>34</v>
      </c>
      <c r="D89" t="s">
        <v>35</v>
      </c>
      <c r="E89" t="s">
        <v>1344</v>
      </c>
      <c r="F89" t="s">
        <v>19</v>
      </c>
      <c r="G89" s="2">
        <v>46127</v>
      </c>
      <c r="H89" s="2">
        <v>46226</v>
      </c>
      <c r="I89" s="3">
        <v>53506175</v>
      </c>
      <c r="J89" t="s">
        <v>20</v>
      </c>
      <c r="K89" s="1">
        <v>46142</v>
      </c>
      <c r="L89" s="3">
        <v>54618568</v>
      </c>
      <c r="M89" s="3">
        <v>53671797.492237002</v>
      </c>
      <c r="N89" s="3">
        <v>53671797.492237002</v>
      </c>
      <c r="O89" s="6" t="s">
        <v>153</v>
      </c>
      <c r="P89" t="s">
        <v>196</v>
      </c>
      <c r="Q89" s="3">
        <v>84</v>
      </c>
      <c r="R89" s="5">
        <v>0.23333300000000001</v>
      </c>
      <c r="S89" s="6" t="s">
        <v>145</v>
      </c>
      <c r="T89" t="s">
        <v>21</v>
      </c>
    </row>
    <row r="90" spans="1:20" x14ac:dyDescent="0.25">
      <c r="A90" t="s">
        <v>32</v>
      </c>
      <c r="B90" t="s">
        <v>33</v>
      </c>
      <c r="C90" t="s">
        <v>34</v>
      </c>
      <c r="D90" t="s">
        <v>35</v>
      </c>
      <c r="E90" t="s">
        <v>1299</v>
      </c>
      <c r="F90" t="s">
        <v>19</v>
      </c>
      <c r="G90" s="2">
        <v>46099</v>
      </c>
      <c r="H90" s="2">
        <v>46197</v>
      </c>
      <c r="I90" s="3">
        <v>54287180</v>
      </c>
      <c r="J90" t="s">
        <v>20</v>
      </c>
      <c r="K90" s="1">
        <v>46142</v>
      </c>
      <c r="L90" s="3">
        <v>55404410</v>
      </c>
      <c r="M90" s="3">
        <v>54771795.758983999</v>
      </c>
      <c r="N90" s="3">
        <v>54771795.758983999</v>
      </c>
      <c r="O90" s="6" t="s">
        <v>278</v>
      </c>
      <c r="P90" t="s">
        <v>196</v>
      </c>
      <c r="Q90" s="3">
        <v>55</v>
      </c>
      <c r="R90" s="5">
        <v>0.152777</v>
      </c>
      <c r="S90" s="6" t="s">
        <v>145</v>
      </c>
      <c r="T90" t="s">
        <v>21</v>
      </c>
    </row>
    <row r="91" spans="1:20" x14ac:dyDescent="0.25">
      <c r="A91" t="s">
        <v>32</v>
      </c>
      <c r="B91" t="s">
        <v>33</v>
      </c>
      <c r="C91" t="s">
        <v>34</v>
      </c>
      <c r="D91" t="s">
        <v>35</v>
      </c>
      <c r="E91" t="s">
        <v>1299</v>
      </c>
      <c r="F91" t="s">
        <v>19</v>
      </c>
      <c r="G91" s="2">
        <v>46099</v>
      </c>
      <c r="H91" s="2">
        <v>46197</v>
      </c>
      <c r="I91" s="3">
        <v>53440010</v>
      </c>
      <c r="J91" t="s">
        <v>20</v>
      </c>
      <c r="K91" s="1">
        <v>46142</v>
      </c>
      <c r="L91" s="3">
        <v>54539805</v>
      </c>
      <c r="M91" s="3">
        <v>53917062.923237003</v>
      </c>
      <c r="N91" s="3">
        <v>53917062.923237003</v>
      </c>
      <c r="O91" s="6" t="s">
        <v>278</v>
      </c>
      <c r="P91" t="s">
        <v>196</v>
      </c>
      <c r="Q91" s="3">
        <v>55</v>
      </c>
      <c r="R91" s="5">
        <v>0.152777</v>
      </c>
      <c r="S91" s="6" t="s">
        <v>145</v>
      </c>
      <c r="T91" t="s">
        <v>21</v>
      </c>
    </row>
    <row r="92" spans="1:20" x14ac:dyDescent="0.25">
      <c r="A92" t="s">
        <v>32</v>
      </c>
      <c r="B92" t="s">
        <v>33</v>
      </c>
      <c r="C92" t="s">
        <v>34</v>
      </c>
      <c r="D92" t="s">
        <v>35</v>
      </c>
      <c r="E92" t="s">
        <v>1345</v>
      </c>
      <c r="F92" t="s">
        <v>19</v>
      </c>
      <c r="G92" s="2">
        <v>46128</v>
      </c>
      <c r="H92" s="2">
        <v>46227</v>
      </c>
      <c r="I92" s="3">
        <v>57051815</v>
      </c>
      <c r="J92" t="s">
        <v>20</v>
      </c>
      <c r="K92" s="1">
        <v>46142</v>
      </c>
      <c r="L92" s="3">
        <v>58237922</v>
      </c>
      <c r="M92" s="3">
        <v>57216605.590214998</v>
      </c>
      <c r="N92" s="3">
        <v>57216605.590214998</v>
      </c>
      <c r="O92" s="6" t="s">
        <v>147</v>
      </c>
      <c r="P92" t="s">
        <v>196</v>
      </c>
      <c r="Q92" s="3">
        <v>85</v>
      </c>
      <c r="R92" s="5">
        <v>0.23611099999999999</v>
      </c>
      <c r="S92" s="6" t="s">
        <v>145</v>
      </c>
      <c r="T92" t="s">
        <v>21</v>
      </c>
    </row>
    <row r="93" spans="1:20" x14ac:dyDescent="0.25">
      <c r="A93" t="s">
        <v>32</v>
      </c>
      <c r="B93" t="s">
        <v>33</v>
      </c>
      <c r="C93" t="s">
        <v>34</v>
      </c>
      <c r="D93" t="s">
        <v>35</v>
      </c>
      <c r="E93" t="s">
        <v>1345</v>
      </c>
      <c r="F93" t="s">
        <v>19</v>
      </c>
      <c r="G93" s="2">
        <v>46128</v>
      </c>
      <c r="H93" s="2">
        <v>46227</v>
      </c>
      <c r="I93" s="3">
        <v>96804016</v>
      </c>
      <c r="J93" t="s">
        <v>20</v>
      </c>
      <c r="K93" s="1">
        <v>46142</v>
      </c>
      <c r="L93" s="3">
        <v>98816571</v>
      </c>
      <c r="M93" s="3">
        <v>97083628.235988006</v>
      </c>
      <c r="N93" s="3">
        <v>97083628.235988006</v>
      </c>
      <c r="O93" s="6" t="s">
        <v>147</v>
      </c>
      <c r="P93" t="s">
        <v>196</v>
      </c>
      <c r="Q93" s="3">
        <v>85</v>
      </c>
      <c r="R93" s="5">
        <v>0.23611099999999999</v>
      </c>
      <c r="S93" s="6" t="s">
        <v>145</v>
      </c>
      <c r="T93" t="s">
        <v>21</v>
      </c>
    </row>
    <row r="94" spans="1:20" x14ac:dyDescent="0.25">
      <c r="A94" t="s">
        <v>32</v>
      </c>
      <c r="B94" t="s">
        <v>33</v>
      </c>
      <c r="C94" t="s">
        <v>34</v>
      </c>
      <c r="D94" t="s">
        <v>35</v>
      </c>
      <c r="E94" t="s">
        <v>1345</v>
      </c>
      <c r="F94" t="s">
        <v>19</v>
      </c>
      <c r="G94" s="2">
        <v>46128</v>
      </c>
      <c r="H94" s="2">
        <v>46227</v>
      </c>
      <c r="I94" s="3">
        <v>63703076</v>
      </c>
      <c r="J94" t="s">
        <v>20</v>
      </c>
      <c r="K94" s="1">
        <v>46142</v>
      </c>
      <c r="L94" s="3">
        <v>65027463</v>
      </c>
      <c r="M94" s="3">
        <v>63887078.646165997</v>
      </c>
      <c r="N94" s="3">
        <v>63887078.646165997</v>
      </c>
      <c r="O94" s="6" t="s">
        <v>147</v>
      </c>
      <c r="P94" t="s">
        <v>196</v>
      </c>
      <c r="Q94" s="3">
        <v>85</v>
      </c>
      <c r="R94" s="5">
        <v>0.23611099999999999</v>
      </c>
      <c r="S94" s="6" t="s">
        <v>145</v>
      </c>
      <c r="T94" t="s">
        <v>21</v>
      </c>
    </row>
    <row r="95" spans="1:20" x14ac:dyDescent="0.25">
      <c r="A95" t="s">
        <v>32</v>
      </c>
      <c r="B95" t="s">
        <v>33</v>
      </c>
      <c r="C95" t="s">
        <v>34</v>
      </c>
      <c r="D95" t="s">
        <v>35</v>
      </c>
      <c r="E95" t="s">
        <v>39</v>
      </c>
      <c r="F95" t="s">
        <v>19</v>
      </c>
      <c r="G95" s="2">
        <v>46063</v>
      </c>
      <c r="H95" s="2">
        <v>46167</v>
      </c>
      <c r="I95" s="3">
        <v>70282643</v>
      </c>
      <c r="J95" t="s">
        <v>20</v>
      </c>
      <c r="K95" s="1">
        <v>46142</v>
      </c>
      <c r="L95" s="3">
        <v>71500875</v>
      </c>
      <c r="M95" s="3">
        <v>71115665.147119999</v>
      </c>
      <c r="N95" s="3">
        <v>71115665.147119999</v>
      </c>
      <c r="O95" s="6" t="s">
        <v>150</v>
      </c>
      <c r="P95" t="s">
        <v>196</v>
      </c>
      <c r="Q95" s="3">
        <v>25</v>
      </c>
      <c r="R95" s="5">
        <v>6.9444000000000006E-2</v>
      </c>
      <c r="S95" s="6" t="s">
        <v>143</v>
      </c>
      <c r="T95" t="s">
        <v>21</v>
      </c>
    </row>
    <row r="96" spans="1:20" x14ac:dyDescent="0.25">
      <c r="A96" t="s">
        <v>32</v>
      </c>
      <c r="B96" t="s">
        <v>33</v>
      </c>
      <c r="C96" t="s">
        <v>34</v>
      </c>
      <c r="D96" t="s">
        <v>35</v>
      </c>
      <c r="E96" t="s">
        <v>39</v>
      </c>
      <c r="F96" t="s">
        <v>19</v>
      </c>
      <c r="G96" s="2">
        <v>46063</v>
      </c>
      <c r="H96" s="2">
        <v>46167</v>
      </c>
      <c r="I96" s="3">
        <v>172598344</v>
      </c>
      <c r="J96" t="s">
        <v>20</v>
      </c>
      <c r="K96" s="1">
        <v>46142</v>
      </c>
      <c r="L96" s="3">
        <v>175590049</v>
      </c>
      <c r="M96" s="3">
        <v>174644060.33982599</v>
      </c>
      <c r="N96" s="3">
        <v>174644060.33982599</v>
      </c>
      <c r="O96" s="6" t="s">
        <v>150</v>
      </c>
      <c r="P96" t="s">
        <v>196</v>
      </c>
      <c r="Q96" s="3">
        <v>25</v>
      </c>
      <c r="R96" s="5">
        <v>6.9444000000000006E-2</v>
      </c>
      <c r="S96" s="6" t="s">
        <v>143</v>
      </c>
      <c r="T96" t="s">
        <v>21</v>
      </c>
    </row>
    <row r="97" spans="1:20" x14ac:dyDescent="0.25">
      <c r="A97" t="s">
        <v>32</v>
      </c>
      <c r="B97" t="s">
        <v>33</v>
      </c>
      <c r="C97" t="s">
        <v>34</v>
      </c>
      <c r="D97" t="s">
        <v>35</v>
      </c>
      <c r="E97" t="s">
        <v>39</v>
      </c>
      <c r="F97" t="s">
        <v>19</v>
      </c>
      <c r="G97" s="2">
        <v>46063</v>
      </c>
      <c r="H97" s="2">
        <v>46167</v>
      </c>
      <c r="I97" s="3">
        <v>107902118</v>
      </c>
      <c r="J97" t="s">
        <v>20</v>
      </c>
      <c r="K97" s="1">
        <v>46142</v>
      </c>
      <c r="L97" s="3">
        <v>109772421</v>
      </c>
      <c r="M97" s="3">
        <v>109181023.787816</v>
      </c>
      <c r="N97" s="3">
        <v>109181023.787816</v>
      </c>
      <c r="O97" s="6" t="s">
        <v>150</v>
      </c>
      <c r="P97" t="s">
        <v>196</v>
      </c>
      <c r="Q97" s="3">
        <v>25</v>
      </c>
      <c r="R97" s="5">
        <v>6.9444000000000006E-2</v>
      </c>
      <c r="S97" s="6" t="s">
        <v>143</v>
      </c>
      <c r="T97" t="s">
        <v>21</v>
      </c>
    </row>
    <row r="98" spans="1:20" x14ac:dyDescent="0.25">
      <c r="A98" t="s">
        <v>32</v>
      </c>
      <c r="B98" t="s">
        <v>33</v>
      </c>
      <c r="C98" t="s">
        <v>34</v>
      </c>
      <c r="D98" t="s">
        <v>35</v>
      </c>
      <c r="E98" t="s">
        <v>1300</v>
      </c>
      <c r="F98" t="s">
        <v>19</v>
      </c>
      <c r="G98" s="2">
        <v>46100</v>
      </c>
      <c r="H98" s="2">
        <v>46198</v>
      </c>
      <c r="I98" s="3">
        <v>228113262</v>
      </c>
      <c r="J98" t="s">
        <v>20</v>
      </c>
      <c r="K98" s="1">
        <v>46142</v>
      </c>
      <c r="L98" s="3">
        <v>232807833</v>
      </c>
      <c r="M98" s="3">
        <v>230101835.41551399</v>
      </c>
      <c r="N98" s="3">
        <v>230101835.41551399</v>
      </c>
      <c r="O98" s="6" t="s">
        <v>251</v>
      </c>
      <c r="P98" t="s">
        <v>196</v>
      </c>
      <c r="Q98" s="3">
        <v>56</v>
      </c>
      <c r="R98" s="5">
        <v>0.155555</v>
      </c>
      <c r="S98" s="6" t="s">
        <v>145</v>
      </c>
      <c r="T98" t="s">
        <v>21</v>
      </c>
    </row>
    <row r="99" spans="1:20" x14ac:dyDescent="0.25">
      <c r="A99" t="s">
        <v>32</v>
      </c>
      <c r="B99" t="s">
        <v>33</v>
      </c>
      <c r="C99" t="s">
        <v>34</v>
      </c>
      <c r="D99" t="s">
        <v>35</v>
      </c>
      <c r="E99" t="s">
        <v>40</v>
      </c>
      <c r="F99" t="s">
        <v>19</v>
      </c>
      <c r="G99" s="2">
        <v>46063</v>
      </c>
      <c r="H99" s="2">
        <v>46168</v>
      </c>
      <c r="I99" s="3">
        <v>107901990</v>
      </c>
      <c r="J99" t="s">
        <v>20</v>
      </c>
      <c r="K99" s="1">
        <v>46142</v>
      </c>
      <c r="L99" s="3">
        <v>109795670</v>
      </c>
      <c r="M99" s="3">
        <v>109180619.178627</v>
      </c>
      <c r="N99" s="3">
        <v>109180619.178627</v>
      </c>
      <c r="O99" s="6" t="s">
        <v>142</v>
      </c>
      <c r="P99" t="s">
        <v>196</v>
      </c>
      <c r="Q99" s="3">
        <v>26</v>
      </c>
      <c r="R99" s="5">
        <v>7.2221999999999995E-2</v>
      </c>
      <c r="S99" s="6" t="s">
        <v>143</v>
      </c>
      <c r="T99" t="s">
        <v>21</v>
      </c>
    </row>
    <row r="100" spans="1:20" x14ac:dyDescent="0.25">
      <c r="A100" t="s">
        <v>32</v>
      </c>
      <c r="B100" t="s">
        <v>33</v>
      </c>
      <c r="C100" t="s">
        <v>34</v>
      </c>
      <c r="D100" t="s">
        <v>35</v>
      </c>
      <c r="E100" t="s">
        <v>41</v>
      </c>
      <c r="F100" t="s">
        <v>19</v>
      </c>
      <c r="G100" s="2">
        <v>46064</v>
      </c>
      <c r="H100" s="2">
        <v>46169</v>
      </c>
      <c r="I100" s="3">
        <v>86584622</v>
      </c>
      <c r="J100" t="s">
        <v>20</v>
      </c>
      <c r="K100" s="1">
        <v>46142</v>
      </c>
      <c r="L100" s="3">
        <v>88122942</v>
      </c>
      <c r="M100" s="3">
        <v>87610421.036934003</v>
      </c>
      <c r="N100" s="3">
        <v>87610421.036934003</v>
      </c>
      <c r="O100" s="6" t="s">
        <v>521</v>
      </c>
      <c r="P100" t="s">
        <v>196</v>
      </c>
      <c r="Q100" s="3">
        <v>27</v>
      </c>
      <c r="R100" s="5">
        <v>7.4999999999999997E-2</v>
      </c>
      <c r="S100" s="6" t="s">
        <v>143</v>
      </c>
      <c r="T100" t="s">
        <v>21</v>
      </c>
    </row>
    <row r="101" spans="1:20" x14ac:dyDescent="0.25">
      <c r="A101" t="s">
        <v>32</v>
      </c>
      <c r="B101" t="s">
        <v>33</v>
      </c>
      <c r="C101" t="s">
        <v>34</v>
      </c>
      <c r="D101" t="s">
        <v>35</v>
      </c>
      <c r="E101" t="s">
        <v>41</v>
      </c>
      <c r="F101" t="s">
        <v>19</v>
      </c>
      <c r="G101" s="2">
        <v>46064</v>
      </c>
      <c r="H101" s="2">
        <v>46169</v>
      </c>
      <c r="I101" s="3">
        <v>55059507</v>
      </c>
      <c r="J101" t="s">
        <v>20</v>
      </c>
      <c r="K101" s="1">
        <v>46142</v>
      </c>
      <c r="L101" s="3">
        <v>55545132</v>
      </c>
      <c r="M101" s="3">
        <v>55231966.748535998</v>
      </c>
      <c r="N101" s="3">
        <v>55231966.748535998</v>
      </c>
      <c r="O101" s="6" t="s">
        <v>521</v>
      </c>
      <c r="P101" t="s">
        <v>196</v>
      </c>
      <c r="Q101" s="3">
        <v>27</v>
      </c>
      <c r="R101" s="5">
        <v>7.4999999999999997E-2</v>
      </c>
      <c r="S101" s="6" t="s">
        <v>143</v>
      </c>
      <c r="T101" t="s">
        <v>21</v>
      </c>
    </row>
    <row r="102" spans="1:20" x14ac:dyDescent="0.25">
      <c r="A102" t="s">
        <v>32</v>
      </c>
      <c r="B102" t="s">
        <v>33</v>
      </c>
      <c r="C102" t="s">
        <v>34</v>
      </c>
      <c r="D102" t="s">
        <v>35</v>
      </c>
      <c r="E102" t="s">
        <v>1346</v>
      </c>
      <c r="F102" t="s">
        <v>19</v>
      </c>
      <c r="G102" s="2">
        <v>46129</v>
      </c>
      <c r="H102" s="2">
        <v>46230</v>
      </c>
      <c r="I102" s="3">
        <v>115209705</v>
      </c>
      <c r="J102" t="s">
        <v>20</v>
      </c>
      <c r="K102" s="1">
        <v>46142</v>
      </c>
      <c r="L102" s="3">
        <v>117653303</v>
      </c>
      <c r="M102" s="3">
        <v>115518520.736784</v>
      </c>
      <c r="N102" s="3">
        <v>115518520.736784</v>
      </c>
      <c r="O102" s="6" t="s">
        <v>153</v>
      </c>
      <c r="P102" t="s">
        <v>196</v>
      </c>
      <c r="Q102" s="3">
        <v>88</v>
      </c>
      <c r="R102" s="5">
        <v>0.24444399999999999</v>
      </c>
      <c r="S102" s="6" t="s">
        <v>145</v>
      </c>
      <c r="T102" t="s">
        <v>21</v>
      </c>
    </row>
    <row r="103" spans="1:20" x14ac:dyDescent="0.25">
      <c r="A103" t="s">
        <v>32</v>
      </c>
      <c r="B103" t="s">
        <v>33</v>
      </c>
      <c r="C103" t="s">
        <v>34</v>
      </c>
      <c r="D103" t="s">
        <v>35</v>
      </c>
      <c r="E103" t="s">
        <v>1346</v>
      </c>
      <c r="F103" t="s">
        <v>19</v>
      </c>
      <c r="G103" s="2">
        <v>46129</v>
      </c>
      <c r="H103" s="2">
        <v>46230</v>
      </c>
      <c r="I103" s="3">
        <v>55115380</v>
      </c>
      <c r="J103" t="s">
        <v>20</v>
      </c>
      <c r="K103" s="1">
        <v>46142</v>
      </c>
      <c r="L103" s="3">
        <v>56284377</v>
      </c>
      <c r="M103" s="3">
        <v>55263114.641425997</v>
      </c>
      <c r="N103" s="3">
        <v>55263114.641425997</v>
      </c>
      <c r="O103" s="6" t="s">
        <v>153</v>
      </c>
      <c r="P103" t="s">
        <v>196</v>
      </c>
      <c r="Q103" s="3">
        <v>88</v>
      </c>
      <c r="R103" s="5">
        <v>0.24444399999999999</v>
      </c>
      <c r="S103" s="6" t="s">
        <v>145</v>
      </c>
      <c r="T103" t="s">
        <v>21</v>
      </c>
    </row>
    <row r="104" spans="1:20" x14ac:dyDescent="0.25">
      <c r="A104" t="s">
        <v>32</v>
      </c>
      <c r="B104" t="s">
        <v>33</v>
      </c>
      <c r="C104" t="s">
        <v>34</v>
      </c>
      <c r="D104" t="s">
        <v>35</v>
      </c>
      <c r="E104" t="s">
        <v>1346</v>
      </c>
      <c r="F104" t="s">
        <v>19</v>
      </c>
      <c r="G104" s="2">
        <v>46129</v>
      </c>
      <c r="H104" s="2">
        <v>46230</v>
      </c>
      <c r="I104" s="3">
        <v>72294054</v>
      </c>
      <c r="J104" t="s">
        <v>20</v>
      </c>
      <c r="K104" s="1">
        <v>46142</v>
      </c>
      <c r="L104" s="3">
        <v>73660412</v>
      </c>
      <c r="M104" s="3">
        <v>72323866.938968003</v>
      </c>
      <c r="N104" s="3">
        <v>72323866.938968003</v>
      </c>
      <c r="O104" s="6" t="s">
        <v>153</v>
      </c>
      <c r="P104" t="s">
        <v>196</v>
      </c>
      <c r="Q104" s="3">
        <v>88</v>
      </c>
      <c r="R104" s="5">
        <v>0.24444399999999999</v>
      </c>
      <c r="S104" s="6" t="s">
        <v>145</v>
      </c>
      <c r="T104" t="s">
        <v>21</v>
      </c>
    </row>
    <row r="105" spans="1:20" x14ac:dyDescent="0.25">
      <c r="A105" t="s">
        <v>32</v>
      </c>
      <c r="B105" t="s">
        <v>33</v>
      </c>
      <c r="C105" t="s">
        <v>34</v>
      </c>
      <c r="D105" t="s">
        <v>35</v>
      </c>
      <c r="E105" t="s">
        <v>1346</v>
      </c>
      <c r="F105" t="s">
        <v>19</v>
      </c>
      <c r="G105" s="2">
        <v>46129</v>
      </c>
      <c r="H105" s="2">
        <v>46230</v>
      </c>
      <c r="I105" s="3">
        <v>20158940</v>
      </c>
      <c r="J105" t="s">
        <v>20</v>
      </c>
      <c r="K105" s="1">
        <v>46142</v>
      </c>
      <c r="L105" s="3">
        <v>20586511</v>
      </c>
      <c r="M105" s="3">
        <v>20212975.217971999</v>
      </c>
      <c r="N105" s="3">
        <v>20212975.217971999</v>
      </c>
      <c r="O105" s="6" t="s">
        <v>153</v>
      </c>
      <c r="P105" t="s">
        <v>196</v>
      </c>
      <c r="Q105" s="3">
        <v>88</v>
      </c>
      <c r="R105" s="5">
        <v>0.24444399999999999</v>
      </c>
      <c r="S105" s="6" t="s">
        <v>145</v>
      </c>
      <c r="T105" t="s">
        <v>21</v>
      </c>
    </row>
    <row r="106" spans="1:20" x14ac:dyDescent="0.25">
      <c r="A106" t="s">
        <v>32</v>
      </c>
      <c r="B106" t="s">
        <v>33</v>
      </c>
      <c r="C106" t="s">
        <v>34</v>
      </c>
      <c r="D106" t="s">
        <v>35</v>
      </c>
      <c r="E106" t="s">
        <v>1346</v>
      </c>
      <c r="F106" t="s">
        <v>19</v>
      </c>
      <c r="G106" s="2">
        <v>46129</v>
      </c>
      <c r="H106" s="2">
        <v>46230</v>
      </c>
      <c r="I106" s="3">
        <v>108872947</v>
      </c>
      <c r="J106" t="s">
        <v>20</v>
      </c>
      <c r="K106" s="1">
        <v>46142</v>
      </c>
      <c r="L106" s="3">
        <v>111113552</v>
      </c>
      <c r="M106" s="3">
        <v>109097431.466499</v>
      </c>
      <c r="N106" s="3">
        <v>109097431.466499</v>
      </c>
      <c r="O106" s="6" t="s">
        <v>153</v>
      </c>
      <c r="P106" t="s">
        <v>196</v>
      </c>
      <c r="Q106" s="3">
        <v>88</v>
      </c>
      <c r="R106" s="5">
        <v>0.24444399999999999</v>
      </c>
      <c r="S106" s="6" t="s">
        <v>145</v>
      </c>
      <c r="T106" t="s">
        <v>21</v>
      </c>
    </row>
    <row r="107" spans="1:20" x14ac:dyDescent="0.25">
      <c r="A107" t="s">
        <v>32</v>
      </c>
      <c r="B107" t="s">
        <v>33</v>
      </c>
      <c r="C107" t="s">
        <v>34</v>
      </c>
      <c r="D107" t="s">
        <v>35</v>
      </c>
      <c r="E107" t="s">
        <v>1346</v>
      </c>
      <c r="F107" t="s">
        <v>19</v>
      </c>
      <c r="G107" s="2">
        <v>46129</v>
      </c>
      <c r="H107" s="2">
        <v>46230</v>
      </c>
      <c r="I107" s="3">
        <v>215207355</v>
      </c>
      <c r="J107" t="s">
        <v>20</v>
      </c>
      <c r="K107" s="1">
        <v>46142</v>
      </c>
      <c r="L107" s="3">
        <v>219636322</v>
      </c>
      <c r="M107" s="3">
        <v>215651089.85939801</v>
      </c>
      <c r="N107" s="3">
        <v>215651089.85939801</v>
      </c>
      <c r="O107" s="6" t="s">
        <v>153</v>
      </c>
      <c r="P107" t="s">
        <v>196</v>
      </c>
      <c r="Q107" s="3">
        <v>88</v>
      </c>
      <c r="R107" s="5">
        <v>0.24444399999999999</v>
      </c>
      <c r="S107" s="6" t="s">
        <v>145</v>
      </c>
      <c r="T107" t="s">
        <v>21</v>
      </c>
    </row>
    <row r="108" spans="1:20" x14ac:dyDescent="0.25">
      <c r="A108" t="s">
        <v>32</v>
      </c>
      <c r="B108" t="s">
        <v>33</v>
      </c>
      <c r="C108" t="s">
        <v>34</v>
      </c>
      <c r="D108" t="s">
        <v>35</v>
      </c>
      <c r="E108" t="s">
        <v>1346</v>
      </c>
      <c r="F108" t="s">
        <v>19</v>
      </c>
      <c r="G108" s="2">
        <v>46129</v>
      </c>
      <c r="H108" s="2">
        <v>46230</v>
      </c>
      <c r="I108" s="3">
        <v>18358095</v>
      </c>
      <c r="J108" t="s">
        <v>20</v>
      </c>
      <c r="K108" s="1">
        <v>46142</v>
      </c>
      <c r="L108" s="3">
        <v>18747470</v>
      </c>
      <c r="M108" s="3">
        <v>18407303.039824001</v>
      </c>
      <c r="N108" s="3">
        <v>18407303.039824001</v>
      </c>
      <c r="O108" s="6" t="s">
        <v>153</v>
      </c>
      <c r="P108" t="s">
        <v>196</v>
      </c>
      <c r="Q108" s="3">
        <v>88</v>
      </c>
      <c r="R108" s="5">
        <v>0.24444399999999999</v>
      </c>
      <c r="S108" s="6" t="s">
        <v>145</v>
      </c>
      <c r="T108" t="s">
        <v>21</v>
      </c>
    </row>
    <row r="109" spans="1:20" x14ac:dyDescent="0.25">
      <c r="A109" t="s">
        <v>32</v>
      </c>
      <c r="B109" t="s">
        <v>33</v>
      </c>
      <c r="C109" t="s">
        <v>34</v>
      </c>
      <c r="D109" t="s">
        <v>35</v>
      </c>
      <c r="E109" t="s">
        <v>1346</v>
      </c>
      <c r="F109" t="s">
        <v>19</v>
      </c>
      <c r="G109" s="2">
        <v>46129</v>
      </c>
      <c r="H109" s="2">
        <v>46230</v>
      </c>
      <c r="I109" s="3">
        <v>69435495</v>
      </c>
      <c r="J109" t="s">
        <v>20</v>
      </c>
      <c r="K109" s="1">
        <v>46142</v>
      </c>
      <c r="L109" s="3">
        <v>70864477</v>
      </c>
      <c r="M109" s="3">
        <v>69578663.302175999</v>
      </c>
      <c r="N109" s="3">
        <v>69578663.302175999</v>
      </c>
      <c r="O109" s="6" t="s">
        <v>153</v>
      </c>
      <c r="P109" t="s">
        <v>196</v>
      </c>
      <c r="Q109" s="3">
        <v>88</v>
      </c>
      <c r="R109" s="5">
        <v>0.24444399999999999</v>
      </c>
      <c r="S109" s="6" t="s">
        <v>145</v>
      </c>
      <c r="T109" t="s">
        <v>21</v>
      </c>
    </row>
    <row r="110" spans="1:20" x14ac:dyDescent="0.25">
      <c r="A110" t="s">
        <v>32</v>
      </c>
      <c r="B110" t="s">
        <v>33</v>
      </c>
      <c r="C110" t="s">
        <v>34</v>
      </c>
      <c r="D110" t="s">
        <v>35</v>
      </c>
      <c r="E110" t="s">
        <v>1346</v>
      </c>
      <c r="F110" t="s">
        <v>19</v>
      </c>
      <c r="G110" s="2">
        <v>46129</v>
      </c>
      <c r="H110" s="2">
        <v>46230</v>
      </c>
      <c r="I110" s="3">
        <v>68289020</v>
      </c>
      <c r="J110" t="s">
        <v>20</v>
      </c>
      <c r="K110" s="1">
        <v>46142</v>
      </c>
      <c r="L110" s="3">
        <v>69694408</v>
      </c>
      <c r="M110" s="3">
        <v>68429824.837011993</v>
      </c>
      <c r="N110" s="3">
        <v>68429824.837011993</v>
      </c>
      <c r="O110" s="6" t="s">
        <v>153</v>
      </c>
      <c r="P110" t="s">
        <v>196</v>
      </c>
      <c r="Q110" s="3">
        <v>88</v>
      </c>
      <c r="R110" s="5">
        <v>0.24444399999999999</v>
      </c>
      <c r="S110" s="6" t="s">
        <v>145</v>
      </c>
      <c r="T110" t="s">
        <v>21</v>
      </c>
    </row>
    <row r="111" spans="1:20" x14ac:dyDescent="0.25">
      <c r="A111" t="s">
        <v>32</v>
      </c>
      <c r="B111" t="s">
        <v>33</v>
      </c>
      <c r="C111" t="s">
        <v>34</v>
      </c>
      <c r="D111" t="s">
        <v>35</v>
      </c>
      <c r="E111" t="s">
        <v>29</v>
      </c>
      <c r="F111" t="s">
        <v>19</v>
      </c>
      <c r="G111" s="2">
        <v>46080</v>
      </c>
      <c r="H111" s="2">
        <v>46171</v>
      </c>
      <c r="I111" s="3">
        <v>12429643</v>
      </c>
      <c r="J111" t="s">
        <v>20</v>
      </c>
      <c r="K111" s="1">
        <v>46142</v>
      </c>
      <c r="L111" s="3">
        <v>12617579</v>
      </c>
      <c r="M111" s="3">
        <v>12541203.073284</v>
      </c>
      <c r="N111" s="3">
        <v>12541203.073284</v>
      </c>
      <c r="O111" s="6" t="s">
        <v>140</v>
      </c>
      <c r="P111" t="s">
        <v>201</v>
      </c>
      <c r="Q111" s="3">
        <v>29</v>
      </c>
      <c r="R111" s="5">
        <v>8.0555000000000002E-2</v>
      </c>
      <c r="S111" s="6" t="s">
        <v>143</v>
      </c>
      <c r="T111" t="s">
        <v>21</v>
      </c>
    </row>
    <row r="112" spans="1:20" x14ac:dyDescent="0.25">
      <c r="A112" t="s">
        <v>32</v>
      </c>
      <c r="B112" t="s">
        <v>33</v>
      </c>
      <c r="C112" t="s">
        <v>34</v>
      </c>
      <c r="D112" t="s">
        <v>35</v>
      </c>
      <c r="E112" t="s">
        <v>29</v>
      </c>
      <c r="F112" t="s">
        <v>19</v>
      </c>
      <c r="G112" s="2">
        <v>46080</v>
      </c>
      <c r="H112" s="2">
        <v>46171</v>
      </c>
      <c r="I112" s="3">
        <v>146554674</v>
      </c>
      <c r="J112" t="s">
        <v>20</v>
      </c>
      <c r="K112" s="1">
        <v>46142</v>
      </c>
      <c r="L112" s="3">
        <v>149221969</v>
      </c>
      <c r="M112" s="3">
        <v>148290212.16688499</v>
      </c>
      <c r="N112" s="3">
        <v>148290212.16688499</v>
      </c>
      <c r="O112" s="6" t="s">
        <v>140</v>
      </c>
      <c r="P112" t="s">
        <v>201</v>
      </c>
      <c r="Q112" s="3">
        <v>29</v>
      </c>
      <c r="R112" s="5">
        <v>8.0555000000000002E-2</v>
      </c>
      <c r="S112" s="6" t="s">
        <v>143</v>
      </c>
      <c r="T112" t="s">
        <v>21</v>
      </c>
    </row>
    <row r="113" spans="1:20" x14ac:dyDescent="0.25">
      <c r="A113" t="s">
        <v>32</v>
      </c>
      <c r="B113" t="s">
        <v>33</v>
      </c>
      <c r="C113" t="s">
        <v>34</v>
      </c>
      <c r="D113" t="s">
        <v>35</v>
      </c>
      <c r="E113" t="s">
        <v>29</v>
      </c>
      <c r="F113" t="s">
        <v>19</v>
      </c>
      <c r="G113" s="2">
        <v>46080</v>
      </c>
      <c r="H113" s="2">
        <v>46171</v>
      </c>
      <c r="I113" s="3">
        <v>7813049</v>
      </c>
      <c r="J113" t="s">
        <v>20</v>
      </c>
      <c r="K113" s="1">
        <v>46142</v>
      </c>
      <c r="L113" s="3">
        <v>7958632</v>
      </c>
      <c r="M113" s="3">
        <v>7908937.5093160002</v>
      </c>
      <c r="N113" s="3">
        <v>7908937.5093160002</v>
      </c>
      <c r="O113" s="6" t="s">
        <v>140</v>
      </c>
      <c r="P113" t="s">
        <v>201</v>
      </c>
      <c r="Q113" s="3">
        <v>29</v>
      </c>
      <c r="R113" s="5">
        <v>8.0555000000000002E-2</v>
      </c>
      <c r="S113" s="6" t="s">
        <v>143</v>
      </c>
      <c r="T113" t="s">
        <v>21</v>
      </c>
    </row>
    <row r="114" spans="1:20" x14ac:dyDescent="0.25">
      <c r="A114" t="s">
        <v>32</v>
      </c>
      <c r="B114" t="s">
        <v>33</v>
      </c>
      <c r="C114" t="s">
        <v>34</v>
      </c>
      <c r="D114" t="s">
        <v>35</v>
      </c>
      <c r="E114" t="s">
        <v>1347</v>
      </c>
      <c r="F114" t="s">
        <v>19</v>
      </c>
      <c r="G114" s="2">
        <v>46133</v>
      </c>
      <c r="H114" s="2">
        <v>46232</v>
      </c>
      <c r="I114" s="3">
        <v>12903402</v>
      </c>
      <c r="J114" t="s">
        <v>20</v>
      </c>
      <c r="K114" s="1">
        <v>46142</v>
      </c>
      <c r="L114" s="3">
        <v>13171664</v>
      </c>
      <c r="M114" s="3">
        <v>12927337.324565999</v>
      </c>
      <c r="N114" s="3">
        <v>12927337.324565999</v>
      </c>
      <c r="O114" s="6" t="s">
        <v>153</v>
      </c>
      <c r="P114" t="s">
        <v>196</v>
      </c>
      <c r="Q114" s="3">
        <v>90</v>
      </c>
      <c r="R114" s="5">
        <v>0.25</v>
      </c>
      <c r="S114" s="6" t="s">
        <v>145</v>
      </c>
      <c r="T114" t="s">
        <v>21</v>
      </c>
    </row>
    <row r="115" spans="1:20" x14ac:dyDescent="0.25">
      <c r="A115" t="s">
        <v>32</v>
      </c>
      <c r="B115" t="s">
        <v>33</v>
      </c>
      <c r="C115" t="s">
        <v>34</v>
      </c>
      <c r="D115" t="s">
        <v>35</v>
      </c>
      <c r="E115" t="s">
        <v>1347</v>
      </c>
      <c r="F115" t="s">
        <v>19</v>
      </c>
      <c r="G115" s="2">
        <v>46133</v>
      </c>
      <c r="H115" s="2">
        <v>46232</v>
      </c>
      <c r="I115" s="3">
        <v>166733669</v>
      </c>
      <c r="J115" t="s">
        <v>20</v>
      </c>
      <c r="K115" s="1">
        <v>46142</v>
      </c>
      <c r="L115" s="3">
        <v>170200062</v>
      </c>
      <c r="M115" s="3">
        <v>167042950.240455</v>
      </c>
      <c r="N115" s="3">
        <v>167042950.240455</v>
      </c>
      <c r="O115" s="6" t="s">
        <v>153</v>
      </c>
      <c r="P115" t="s">
        <v>196</v>
      </c>
      <c r="Q115" s="3">
        <v>90</v>
      </c>
      <c r="R115" s="5">
        <v>0.25</v>
      </c>
      <c r="S115" s="6" t="s">
        <v>145</v>
      </c>
      <c r="T115" t="s">
        <v>21</v>
      </c>
    </row>
    <row r="116" spans="1:20" x14ac:dyDescent="0.25">
      <c r="A116" t="s">
        <v>32</v>
      </c>
      <c r="B116" t="s">
        <v>33</v>
      </c>
      <c r="C116" t="s">
        <v>34</v>
      </c>
      <c r="D116" t="s">
        <v>35</v>
      </c>
      <c r="E116" t="s">
        <v>1348</v>
      </c>
      <c r="F116" t="s">
        <v>19</v>
      </c>
      <c r="G116" s="2">
        <v>46134</v>
      </c>
      <c r="H116" s="2">
        <v>46233</v>
      </c>
      <c r="I116" s="3">
        <v>54113730</v>
      </c>
      <c r="J116" t="s">
        <v>20</v>
      </c>
      <c r="K116" s="1">
        <v>46142</v>
      </c>
      <c r="L116" s="3">
        <v>55238754</v>
      </c>
      <c r="M116" s="3">
        <v>54202935.895046003</v>
      </c>
      <c r="N116" s="3">
        <v>54202935.895046003</v>
      </c>
      <c r="O116" s="6" t="s">
        <v>147</v>
      </c>
      <c r="P116" t="s">
        <v>196</v>
      </c>
      <c r="Q116" s="3">
        <v>91</v>
      </c>
      <c r="R116" s="5">
        <v>0.25277699999999997</v>
      </c>
      <c r="S116" s="6" t="s">
        <v>141</v>
      </c>
      <c r="T116" t="s">
        <v>21</v>
      </c>
    </row>
    <row r="117" spans="1:20" x14ac:dyDescent="0.25">
      <c r="A117" t="s">
        <v>32</v>
      </c>
      <c r="B117" t="s">
        <v>33</v>
      </c>
      <c r="C117" t="s">
        <v>34</v>
      </c>
      <c r="D117" t="s">
        <v>35</v>
      </c>
      <c r="E117" t="s">
        <v>1348</v>
      </c>
      <c r="F117" t="s">
        <v>19</v>
      </c>
      <c r="G117" s="2">
        <v>46134</v>
      </c>
      <c r="H117" s="2">
        <v>46233</v>
      </c>
      <c r="I117" s="3">
        <v>56242009</v>
      </c>
      <c r="J117" t="s">
        <v>20</v>
      </c>
      <c r="K117" s="1">
        <v>46142</v>
      </c>
      <c r="L117" s="3">
        <v>57411280</v>
      </c>
      <c r="M117" s="3">
        <v>56334723.435153998</v>
      </c>
      <c r="N117" s="3">
        <v>56334723.435153998</v>
      </c>
      <c r="O117" s="6" t="s">
        <v>147</v>
      </c>
      <c r="P117" t="s">
        <v>196</v>
      </c>
      <c r="Q117" s="3">
        <v>91</v>
      </c>
      <c r="R117" s="5">
        <v>0.25277699999999997</v>
      </c>
      <c r="S117" s="6" t="s">
        <v>141</v>
      </c>
      <c r="T117" t="s">
        <v>21</v>
      </c>
    </row>
    <row r="118" spans="1:20" x14ac:dyDescent="0.25">
      <c r="A118" t="s">
        <v>32</v>
      </c>
      <c r="B118" t="s">
        <v>33</v>
      </c>
      <c r="C118" t="s">
        <v>34</v>
      </c>
      <c r="D118" t="s">
        <v>35</v>
      </c>
      <c r="E118" t="s">
        <v>1301</v>
      </c>
      <c r="F118" t="s">
        <v>19</v>
      </c>
      <c r="G118" s="2">
        <v>46105</v>
      </c>
      <c r="H118" s="2">
        <v>46204</v>
      </c>
      <c r="I118" s="3">
        <v>134707521</v>
      </c>
      <c r="J118" t="s">
        <v>20</v>
      </c>
      <c r="K118" s="1">
        <v>46142</v>
      </c>
      <c r="L118" s="3">
        <v>137508090</v>
      </c>
      <c r="M118" s="3">
        <v>135740745.49367201</v>
      </c>
      <c r="N118" s="3">
        <v>135740745.49367201</v>
      </c>
      <c r="O118" s="6" t="s">
        <v>317</v>
      </c>
      <c r="P118" t="s">
        <v>201</v>
      </c>
      <c r="Q118" s="3">
        <v>62</v>
      </c>
      <c r="R118" s="5">
        <v>0.17222199999999999</v>
      </c>
      <c r="S118" s="6" t="s">
        <v>145</v>
      </c>
      <c r="T118" t="s">
        <v>21</v>
      </c>
    </row>
    <row r="119" spans="1:20" x14ac:dyDescent="0.25">
      <c r="A119" t="s">
        <v>32</v>
      </c>
      <c r="B119" t="s">
        <v>33</v>
      </c>
      <c r="C119" t="s">
        <v>34</v>
      </c>
      <c r="D119" t="s">
        <v>35</v>
      </c>
      <c r="E119" t="s">
        <v>42</v>
      </c>
      <c r="F119" t="s">
        <v>19</v>
      </c>
      <c r="G119" s="2">
        <v>46079</v>
      </c>
      <c r="H119" s="2">
        <v>46176</v>
      </c>
      <c r="I119" s="3">
        <v>408719253</v>
      </c>
      <c r="J119" t="s">
        <v>20</v>
      </c>
      <c r="K119" s="1">
        <v>46142</v>
      </c>
      <c r="L119" s="3">
        <v>416600723</v>
      </c>
      <c r="M119" s="3">
        <v>413554207.00837201</v>
      </c>
      <c r="N119" s="3">
        <v>413554207.00837201</v>
      </c>
      <c r="O119" s="6" t="s">
        <v>1287</v>
      </c>
      <c r="P119" t="s">
        <v>1349</v>
      </c>
      <c r="Q119" s="3">
        <v>34</v>
      </c>
      <c r="R119" s="5">
        <v>9.4444E-2</v>
      </c>
      <c r="S119" s="6" t="s">
        <v>145</v>
      </c>
      <c r="T119" t="s">
        <v>21</v>
      </c>
    </row>
    <row r="120" spans="1:20" x14ac:dyDescent="0.25">
      <c r="A120" t="s">
        <v>32</v>
      </c>
      <c r="B120" t="s">
        <v>33</v>
      </c>
      <c r="C120" t="s">
        <v>34</v>
      </c>
      <c r="D120" t="s">
        <v>35</v>
      </c>
      <c r="E120" t="s">
        <v>42</v>
      </c>
      <c r="F120" t="s">
        <v>19</v>
      </c>
      <c r="G120" s="2">
        <v>46079</v>
      </c>
      <c r="H120" s="2">
        <v>46176</v>
      </c>
      <c r="I120" s="3">
        <v>251818560</v>
      </c>
      <c r="J120" t="s">
        <v>20</v>
      </c>
      <c r="K120" s="1">
        <v>46142</v>
      </c>
      <c r="L120" s="3">
        <v>256674461</v>
      </c>
      <c r="M120" s="3">
        <v>254797453.09553</v>
      </c>
      <c r="N120" s="3">
        <v>254797453.09553</v>
      </c>
      <c r="O120" s="6" t="s">
        <v>1287</v>
      </c>
      <c r="P120" t="s">
        <v>1349</v>
      </c>
      <c r="Q120" s="3">
        <v>34</v>
      </c>
      <c r="R120" s="5">
        <v>9.4444E-2</v>
      </c>
      <c r="S120" s="6" t="s">
        <v>145</v>
      </c>
      <c r="T120" t="s">
        <v>21</v>
      </c>
    </row>
    <row r="121" spans="1:20" x14ac:dyDescent="0.25">
      <c r="A121" t="s">
        <v>32</v>
      </c>
      <c r="B121" t="s">
        <v>33</v>
      </c>
      <c r="C121" t="s">
        <v>34</v>
      </c>
      <c r="D121" t="s">
        <v>35</v>
      </c>
      <c r="E121" t="s">
        <v>43</v>
      </c>
      <c r="F121" t="s">
        <v>19</v>
      </c>
      <c r="G121" s="2">
        <v>46043</v>
      </c>
      <c r="H121" s="2">
        <v>46146</v>
      </c>
      <c r="I121" s="3">
        <v>352691762</v>
      </c>
      <c r="J121" t="s">
        <v>20</v>
      </c>
      <c r="K121" s="1">
        <v>46142</v>
      </c>
      <c r="L121" s="3">
        <v>357200338</v>
      </c>
      <c r="M121" s="3">
        <v>356891032.43855298</v>
      </c>
      <c r="N121" s="3">
        <v>356891032.43855298</v>
      </c>
      <c r="O121" s="6"/>
      <c r="P121" t="s">
        <v>196</v>
      </c>
      <c r="Q121" s="3">
        <v>4</v>
      </c>
      <c r="R121" s="5">
        <v>1.1110999999999999E-2</v>
      </c>
      <c r="S121" s="6" t="s">
        <v>143</v>
      </c>
      <c r="T121" t="s">
        <v>21</v>
      </c>
    </row>
    <row r="122" spans="1:20" x14ac:dyDescent="0.25">
      <c r="A122" t="s">
        <v>32</v>
      </c>
      <c r="B122" t="s">
        <v>33</v>
      </c>
      <c r="C122" t="s">
        <v>34</v>
      </c>
      <c r="D122" t="s">
        <v>35</v>
      </c>
      <c r="E122" t="s">
        <v>43</v>
      </c>
      <c r="F122" t="s">
        <v>19</v>
      </c>
      <c r="G122" s="2">
        <v>46043</v>
      </c>
      <c r="H122" s="2">
        <v>46146</v>
      </c>
      <c r="I122" s="3">
        <v>113305158</v>
      </c>
      <c r="J122" t="s">
        <v>20</v>
      </c>
      <c r="K122" s="1">
        <v>46142</v>
      </c>
      <c r="L122" s="3">
        <v>114753576</v>
      </c>
      <c r="M122" s="3">
        <v>114654209.01885</v>
      </c>
      <c r="N122" s="3">
        <v>114654209.01885</v>
      </c>
      <c r="O122" s="6"/>
      <c r="P122" t="s">
        <v>196</v>
      </c>
      <c r="Q122" s="3">
        <v>4</v>
      </c>
      <c r="R122" s="5">
        <v>1.1110999999999999E-2</v>
      </c>
      <c r="S122" s="6" t="s">
        <v>143</v>
      </c>
      <c r="T122" t="s">
        <v>21</v>
      </c>
    </row>
    <row r="123" spans="1:20" x14ac:dyDescent="0.25">
      <c r="A123" t="s">
        <v>32</v>
      </c>
      <c r="B123" t="s">
        <v>33</v>
      </c>
      <c r="C123" t="s">
        <v>34</v>
      </c>
      <c r="D123" t="s">
        <v>35</v>
      </c>
      <c r="E123" t="s">
        <v>43</v>
      </c>
      <c r="F123" t="s">
        <v>19</v>
      </c>
      <c r="G123" s="2">
        <v>46043</v>
      </c>
      <c r="H123" s="2">
        <v>46146</v>
      </c>
      <c r="I123" s="3">
        <v>116266842</v>
      </c>
      <c r="J123" t="s">
        <v>20</v>
      </c>
      <c r="K123" s="1">
        <v>46142</v>
      </c>
      <c r="L123" s="3">
        <v>117753120</v>
      </c>
      <c r="M123" s="3">
        <v>117651155.66508999</v>
      </c>
      <c r="N123" s="3">
        <v>117651155.66508999</v>
      </c>
      <c r="O123" s="6"/>
      <c r="P123" t="s">
        <v>196</v>
      </c>
      <c r="Q123" s="3">
        <v>4</v>
      </c>
      <c r="R123" s="5">
        <v>1.1110999999999999E-2</v>
      </c>
      <c r="S123" s="6" t="s">
        <v>143</v>
      </c>
      <c r="T123" t="s">
        <v>21</v>
      </c>
    </row>
    <row r="124" spans="1:20" x14ac:dyDescent="0.25">
      <c r="A124" t="s">
        <v>32</v>
      </c>
      <c r="B124" t="s">
        <v>33</v>
      </c>
      <c r="C124" t="s">
        <v>34</v>
      </c>
      <c r="D124" t="s">
        <v>35</v>
      </c>
      <c r="E124" t="s">
        <v>43</v>
      </c>
      <c r="F124" t="s">
        <v>19</v>
      </c>
      <c r="G124" s="2">
        <v>46043</v>
      </c>
      <c r="H124" s="2">
        <v>46146</v>
      </c>
      <c r="I124" s="3">
        <v>249534385</v>
      </c>
      <c r="J124" t="s">
        <v>20</v>
      </c>
      <c r="K124" s="1">
        <v>46142</v>
      </c>
      <c r="L124" s="3">
        <v>252724266</v>
      </c>
      <c r="M124" s="3">
        <v>252505427.96243301</v>
      </c>
      <c r="N124" s="3">
        <v>252505427.96243301</v>
      </c>
      <c r="O124" s="6"/>
      <c r="P124" t="s">
        <v>196</v>
      </c>
      <c r="Q124" s="3">
        <v>4</v>
      </c>
      <c r="R124" s="5">
        <v>1.1110999999999999E-2</v>
      </c>
      <c r="S124" s="6" t="s">
        <v>143</v>
      </c>
      <c r="T124" t="s">
        <v>21</v>
      </c>
    </row>
    <row r="125" spans="1:20" x14ac:dyDescent="0.25">
      <c r="A125" t="s">
        <v>32</v>
      </c>
      <c r="B125" t="s">
        <v>33</v>
      </c>
      <c r="C125" t="s">
        <v>34</v>
      </c>
      <c r="D125" t="s">
        <v>35</v>
      </c>
      <c r="E125" t="s">
        <v>43</v>
      </c>
      <c r="F125" t="s">
        <v>19</v>
      </c>
      <c r="G125" s="2">
        <v>46043</v>
      </c>
      <c r="H125" s="2">
        <v>46146</v>
      </c>
      <c r="I125" s="3">
        <v>65435582</v>
      </c>
      <c r="J125" t="s">
        <v>20</v>
      </c>
      <c r="K125" s="1">
        <v>46142</v>
      </c>
      <c r="L125" s="3">
        <v>66272067</v>
      </c>
      <c r="M125" s="3">
        <v>66214680.943182997</v>
      </c>
      <c r="N125" s="3">
        <v>66214680.943182997</v>
      </c>
      <c r="O125" s="6"/>
      <c r="P125" t="s">
        <v>196</v>
      </c>
      <c r="Q125" s="3">
        <v>4</v>
      </c>
      <c r="R125" s="5">
        <v>1.1110999999999999E-2</v>
      </c>
      <c r="S125" s="6" t="s">
        <v>143</v>
      </c>
      <c r="T125" t="s">
        <v>21</v>
      </c>
    </row>
    <row r="126" spans="1:20" x14ac:dyDescent="0.25">
      <c r="A126" t="s">
        <v>32</v>
      </c>
      <c r="B126" t="s">
        <v>33</v>
      </c>
      <c r="C126" t="s">
        <v>34</v>
      </c>
      <c r="D126" t="s">
        <v>35</v>
      </c>
      <c r="E126" t="s">
        <v>43</v>
      </c>
      <c r="F126" t="s">
        <v>19</v>
      </c>
      <c r="G126" s="2">
        <v>46043</v>
      </c>
      <c r="H126" s="2">
        <v>46146</v>
      </c>
      <c r="I126" s="3">
        <v>343345713</v>
      </c>
      <c r="J126" t="s">
        <v>20</v>
      </c>
      <c r="K126" s="1">
        <v>46142</v>
      </c>
      <c r="L126" s="3">
        <v>347734816</v>
      </c>
      <c r="M126" s="3">
        <v>347433706.78745103</v>
      </c>
      <c r="N126" s="3">
        <v>347433706.78745103</v>
      </c>
      <c r="O126" s="6"/>
      <c r="P126" t="s">
        <v>196</v>
      </c>
      <c r="Q126" s="3">
        <v>4</v>
      </c>
      <c r="R126" s="5">
        <v>1.1110999999999999E-2</v>
      </c>
      <c r="S126" s="6" t="s">
        <v>143</v>
      </c>
      <c r="T126" t="s">
        <v>21</v>
      </c>
    </row>
    <row r="127" spans="1:20" x14ac:dyDescent="0.25">
      <c r="A127" t="s">
        <v>32</v>
      </c>
      <c r="B127" t="s">
        <v>33</v>
      </c>
      <c r="C127" t="s">
        <v>34</v>
      </c>
      <c r="D127" t="s">
        <v>35</v>
      </c>
      <c r="E127" t="s">
        <v>1350</v>
      </c>
      <c r="F127" t="s">
        <v>19</v>
      </c>
      <c r="G127" s="2">
        <v>46139</v>
      </c>
      <c r="H127" s="2">
        <v>46238</v>
      </c>
      <c r="I127" s="3">
        <v>659801465</v>
      </c>
      <c r="J127" t="s">
        <v>20</v>
      </c>
      <c r="K127" s="1">
        <v>46142</v>
      </c>
      <c r="L127" s="3">
        <v>673518737</v>
      </c>
      <c r="M127" s="3">
        <v>660208925.07057703</v>
      </c>
      <c r="N127" s="3">
        <v>660208925.07057703</v>
      </c>
      <c r="O127" s="6"/>
      <c r="P127" t="s">
        <v>196</v>
      </c>
      <c r="Q127" s="3">
        <v>96</v>
      </c>
      <c r="R127" s="5">
        <v>0.26666600000000001</v>
      </c>
      <c r="S127" s="6" t="s">
        <v>141</v>
      </c>
      <c r="T127" t="s">
        <v>21</v>
      </c>
    </row>
    <row r="128" spans="1:20" x14ac:dyDescent="0.25">
      <c r="A128" t="s">
        <v>32</v>
      </c>
      <c r="B128" t="s">
        <v>33</v>
      </c>
      <c r="C128" t="s">
        <v>34</v>
      </c>
      <c r="D128" t="s">
        <v>35</v>
      </c>
      <c r="E128" t="s">
        <v>44</v>
      </c>
      <c r="F128" t="s">
        <v>19</v>
      </c>
      <c r="G128" s="2">
        <v>46048</v>
      </c>
      <c r="H128" s="2">
        <v>46147</v>
      </c>
      <c r="I128" s="3">
        <v>379892801</v>
      </c>
      <c r="J128" t="s">
        <v>20</v>
      </c>
      <c r="K128" s="1">
        <v>46142</v>
      </c>
      <c r="L128" s="3">
        <v>384831407</v>
      </c>
      <c r="M128" s="3">
        <v>384414957.462749</v>
      </c>
      <c r="N128" s="3">
        <v>384414957.462749</v>
      </c>
      <c r="O128" s="6"/>
      <c r="P128" t="s">
        <v>196</v>
      </c>
      <c r="Q128" s="3">
        <v>5</v>
      </c>
      <c r="R128" s="5">
        <v>1.3887999999999999E-2</v>
      </c>
      <c r="S128" s="6" t="s">
        <v>143</v>
      </c>
      <c r="T128" t="s">
        <v>21</v>
      </c>
    </row>
    <row r="129" spans="1:20" x14ac:dyDescent="0.25">
      <c r="A129" t="s">
        <v>32</v>
      </c>
      <c r="B129" t="s">
        <v>33</v>
      </c>
      <c r="C129" t="s">
        <v>34</v>
      </c>
      <c r="D129" t="s">
        <v>35</v>
      </c>
      <c r="E129" t="s">
        <v>1334</v>
      </c>
      <c r="F129" t="s">
        <v>19</v>
      </c>
      <c r="G129" s="2">
        <v>46140</v>
      </c>
      <c r="H129" s="2">
        <v>46239</v>
      </c>
      <c r="I129" s="3">
        <v>509112659</v>
      </c>
      <c r="J129" t="s">
        <v>20</v>
      </c>
      <c r="K129" s="1">
        <v>46142</v>
      </c>
      <c r="L129" s="3">
        <v>519697111</v>
      </c>
      <c r="M129" s="3">
        <v>509322217.43093199</v>
      </c>
      <c r="N129" s="3">
        <v>509322217.43093199</v>
      </c>
      <c r="O129" s="6" t="s">
        <v>164</v>
      </c>
      <c r="P129" t="s">
        <v>196</v>
      </c>
      <c r="Q129" s="3">
        <v>97</v>
      </c>
      <c r="R129" s="5">
        <v>0.26944400000000002</v>
      </c>
      <c r="S129" s="6" t="s">
        <v>141</v>
      </c>
      <c r="T129" t="s">
        <v>21</v>
      </c>
    </row>
    <row r="130" spans="1:20" x14ac:dyDescent="0.25">
      <c r="A130" t="s">
        <v>32</v>
      </c>
      <c r="B130" t="s">
        <v>33</v>
      </c>
      <c r="C130" t="s">
        <v>34</v>
      </c>
      <c r="D130" t="s">
        <v>35</v>
      </c>
      <c r="E130" t="s">
        <v>1334</v>
      </c>
      <c r="F130" t="s">
        <v>19</v>
      </c>
      <c r="G130" s="2">
        <v>46140</v>
      </c>
      <c r="H130" s="2">
        <v>46239</v>
      </c>
      <c r="I130" s="3">
        <v>236422954</v>
      </c>
      <c r="J130" t="s">
        <v>20</v>
      </c>
      <c r="K130" s="1">
        <v>46142</v>
      </c>
      <c r="L130" s="3">
        <v>241338187</v>
      </c>
      <c r="M130" s="3">
        <v>236520269.118065</v>
      </c>
      <c r="N130" s="3">
        <v>236520269.118065</v>
      </c>
      <c r="O130" s="6" t="s">
        <v>164</v>
      </c>
      <c r="P130" t="s">
        <v>196</v>
      </c>
      <c r="Q130" s="3">
        <v>97</v>
      </c>
      <c r="R130" s="5">
        <v>0.26944400000000002</v>
      </c>
      <c r="S130" s="6" t="s">
        <v>141</v>
      </c>
      <c r="T130" t="s">
        <v>21</v>
      </c>
    </row>
    <row r="131" spans="1:20" x14ac:dyDescent="0.25">
      <c r="A131" t="s">
        <v>32</v>
      </c>
      <c r="B131" t="s">
        <v>33</v>
      </c>
      <c r="C131" t="s">
        <v>34</v>
      </c>
      <c r="D131" t="s">
        <v>35</v>
      </c>
      <c r="E131" t="s">
        <v>1351</v>
      </c>
      <c r="F131" t="s">
        <v>19</v>
      </c>
      <c r="G131" s="2">
        <v>46140</v>
      </c>
      <c r="H131" s="2">
        <v>46240</v>
      </c>
      <c r="I131" s="3">
        <v>100123895</v>
      </c>
      <c r="J131" t="s">
        <v>20</v>
      </c>
      <c r="K131" s="1">
        <v>46142</v>
      </c>
      <c r="L131" s="3">
        <v>102226497</v>
      </c>
      <c r="M131" s="3">
        <v>100165099.257285</v>
      </c>
      <c r="N131" s="3">
        <v>100165099.257285</v>
      </c>
      <c r="O131" s="6" t="s">
        <v>200</v>
      </c>
      <c r="P131" t="s">
        <v>1349</v>
      </c>
      <c r="Q131" s="3">
        <v>98</v>
      </c>
      <c r="R131" s="5">
        <v>0.27222200000000002</v>
      </c>
      <c r="S131" s="6" t="s">
        <v>141</v>
      </c>
      <c r="T131" t="s">
        <v>21</v>
      </c>
    </row>
    <row r="132" spans="1:20" x14ac:dyDescent="0.25">
      <c r="A132" t="s">
        <v>32</v>
      </c>
      <c r="B132" t="s">
        <v>33</v>
      </c>
      <c r="C132" t="s">
        <v>34</v>
      </c>
      <c r="D132" t="s">
        <v>35</v>
      </c>
      <c r="E132" t="s">
        <v>1351</v>
      </c>
      <c r="F132" t="s">
        <v>19</v>
      </c>
      <c r="G132" s="2">
        <v>46140</v>
      </c>
      <c r="H132" s="2">
        <v>46240</v>
      </c>
      <c r="I132" s="3">
        <v>422475753</v>
      </c>
      <c r="J132" t="s">
        <v>20</v>
      </c>
      <c r="K132" s="1">
        <v>46142</v>
      </c>
      <c r="L132" s="3">
        <v>431347744</v>
      </c>
      <c r="M132" s="3">
        <v>422649614.92484701</v>
      </c>
      <c r="N132" s="3">
        <v>422649614.92484701</v>
      </c>
      <c r="O132" s="6" t="s">
        <v>200</v>
      </c>
      <c r="P132" t="s">
        <v>1349</v>
      </c>
      <c r="Q132" s="3">
        <v>98</v>
      </c>
      <c r="R132" s="5">
        <v>0.27222200000000002</v>
      </c>
      <c r="S132" s="6" t="s">
        <v>141</v>
      </c>
      <c r="T132" t="s">
        <v>21</v>
      </c>
    </row>
    <row r="133" spans="1:20" x14ac:dyDescent="0.25">
      <c r="A133" t="s">
        <v>32</v>
      </c>
      <c r="B133" t="s">
        <v>33</v>
      </c>
      <c r="C133" t="s">
        <v>34</v>
      </c>
      <c r="D133" t="s">
        <v>35</v>
      </c>
      <c r="E133" t="s">
        <v>1351</v>
      </c>
      <c r="F133" t="s">
        <v>19</v>
      </c>
      <c r="G133" s="2">
        <v>46140</v>
      </c>
      <c r="H133" s="2">
        <v>46240</v>
      </c>
      <c r="I133" s="3">
        <v>243281921</v>
      </c>
      <c r="J133" t="s">
        <v>20</v>
      </c>
      <c r="K133" s="1">
        <v>46142</v>
      </c>
      <c r="L133" s="3">
        <v>248390841</v>
      </c>
      <c r="M133" s="3">
        <v>243382038.644692</v>
      </c>
      <c r="N133" s="3">
        <v>243382038.644692</v>
      </c>
      <c r="O133" s="6" t="s">
        <v>200</v>
      </c>
      <c r="P133" t="s">
        <v>1349</v>
      </c>
      <c r="Q133" s="3">
        <v>98</v>
      </c>
      <c r="R133" s="5">
        <v>0.27222200000000002</v>
      </c>
      <c r="S133" s="6" t="s">
        <v>141</v>
      </c>
      <c r="T133" t="s">
        <v>21</v>
      </c>
    </row>
    <row r="134" spans="1:20" x14ac:dyDescent="0.25">
      <c r="A134" t="s">
        <v>32</v>
      </c>
      <c r="B134" t="s">
        <v>33</v>
      </c>
      <c r="C134" t="s">
        <v>34</v>
      </c>
      <c r="D134" t="s">
        <v>35</v>
      </c>
      <c r="E134" t="s">
        <v>1302</v>
      </c>
      <c r="F134" t="s">
        <v>19</v>
      </c>
      <c r="G134" s="2">
        <v>46111</v>
      </c>
      <c r="H134" s="2">
        <v>46210</v>
      </c>
      <c r="I134" s="3">
        <v>603900000</v>
      </c>
      <c r="J134" t="s">
        <v>20</v>
      </c>
      <c r="K134" s="1">
        <v>46142</v>
      </c>
      <c r="L134" s="3">
        <v>615313710</v>
      </c>
      <c r="M134" s="3">
        <v>606650737.468943</v>
      </c>
      <c r="N134" s="3">
        <v>606650737.468943</v>
      </c>
      <c r="O134" s="6" t="s">
        <v>1303</v>
      </c>
      <c r="P134" t="s">
        <v>196</v>
      </c>
      <c r="Q134" s="3">
        <v>68</v>
      </c>
      <c r="R134" s="5">
        <v>0.188888</v>
      </c>
      <c r="S134" s="6" t="s">
        <v>145</v>
      </c>
      <c r="T134" t="s">
        <v>21</v>
      </c>
    </row>
    <row r="135" spans="1:20" x14ac:dyDescent="0.25">
      <c r="A135" t="s">
        <v>32</v>
      </c>
      <c r="B135" t="s">
        <v>33</v>
      </c>
      <c r="C135" t="s">
        <v>34</v>
      </c>
      <c r="D135" t="s">
        <v>35</v>
      </c>
      <c r="E135" t="s">
        <v>1302</v>
      </c>
      <c r="F135" t="s">
        <v>19</v>
      </c>
      <c r="G135" s="2">
        <v>46111</v>
      </c>
      <c r="H135" s="2">
        <v>46210</v>
      </c>
      <c r="I135" s="3">
        <v>202762255</v>
      </c>
      <c r="J135" t="s">
        <v>20</v>
      </c>
      <c r="K135" s="1">
        <v>46142</v>
      </c>
      <c r="L135" s="3">
        <v>206977682</v>
      </c>
      <c r="M135" s="3">
        <v>204063653.03466499</v>
      </c>
      <c r="N135" s="3">
        <v>204063653.03466499</v>
      </c>
      <c r="O135" s="6" t="s">
        <v>1303</v>
      </c>
      <c r="P135" t="s">
        <v>196</v>
      </c>
      <c r="Q135" s="3">
        <v>68</v>
      </c>
      <c r="R135" s="5">
        <v>0.188888</v>
      </c>
      <c r="S135" s="6" t="s">
        <v>145</v>
      </c>
      <c r="T135" t="s">
        <v>21</v>
      </c>
    </row>
    <row r="136" spans="1:20" x14ac:dyDescent="0.25">
      <c r="A136" t="s">
        <v>32</v>
      </c>
      <c r="B136" t="s">
        <v>33</v>
      </c>
      <c r="C136" t="s">
        <v>34</v>
      </c>
      <c r="D136" t="s">
        <v>35</v>
      </c>
      <c r="E136" t="s">
        <v>1302</v>
      </c>
      <c r="F136" t="s">
        <v>19</v>
      </c>
      <c r="G136" s="2">
        <v>46111</v>
      </c>
      <c r="H136" s="2">
        <v>46210</v>
      </c>
      <c r="I136" s="3">
        <v>201357257</v>
      </c>
      <c r="J136" t="s">
        <v>20</v>
      </c>
      <c r="K136" s="1">
        <v>46142</v>
      </c>
      <c r="L136" s="3">
        <v>205543474</v>
      </c>
      <c r="M136" s="3">
        <v>202649637.18105501</v>
      </c>
      <c r="N136" s="3">
        <v>202649637.18105501</v>
      </c>
      <c r="O136" s="6" t="s">
        <v>1303</v>
      </c>
      <c r="P136" t="s">
        <v>196</v>
      </c>
      <c r="Q136" s="3">
        <v>68</v>
      </c>
      <c r="R136" s="5">
        <v>0.188888</v>
      </c>
      <c r="S136" s="6" t="s">
        <v>145</v>
      </c>
      <c r="T136" t="s">
        <v>21</v>
      </c>
    </row>
    <row r="137" spans="1:20" x14ac:dyDescent="0.25">
      <c r="A137" t="s">
        <v>32</v>
      </c>
      <c r="B137" t="s">
        <v>33</v>
      </c>
      <c r="C137" t="s">
        <v>34</v>
      </c>
      <c r="D137" t="s">
        <v>35</v>
      </c>
      <c r="E137" t="s">
        <v>1304</v>
      </c>
      <c r="F137" t="s">
        <v>19</v>
      </c>
      <c r="G137" s="2">
        <v>46085</v>
      </c>
      <c r="H137" s="2">
        <v>46181</v>
      </c>
      <c r="I137" s="3">
        <v>167869575</v>
      </c>
      <c r="J137" t="s">
        <v>20</v>
      </c>
      <c r="K137" s="1">
        <v>46142</v>
      </c>
      <c r="L137" s="3">
        <v>171361262</v>
      </c>
      <c r="M137" s="3">
        <v>169925392.43393299</v>
      </c>
      <c r="N137" s="3">
        <v>169925392.43393299</v>
      </c>
      <c r="O137" s="6"/>
      <c r="P137" t="s">
        <v>196</v>
      </c>
      <c r="Q137" s="3">
        <v>39</v>
      </c>
      <c r="R137" s="5">
        <v>0.108333</v>
      </c>
      <c r="S137" s="6" t="s">
        <v>145</v>
      </c>
      <c r="T137" t="s">
        <v>21</v>
      </c>
    </row>
    <row r="138" spans="1:20" x14ac:dyDescent="0.25">
      <c r="A138" t="s">
        <v>32</v>
      </c>
      <c r="B138" t="s">
        <v>33</v>
      </c>
      <c r="C138" t="s">
        <v>34</v>
      </c>
      <c r="D138" t="s">
        <v>35</v>
      </c>
      <c r="E138" t="s">
        <v>45</v>
      </c>
      <c r="F138" t="s">
        <v>19</v>
      </c>
      <c r="G138" s="2">
        <v>46050</v>
      </c>
      <c r="H138" s="2">
        <v>46153</v>
      </c>
      <c r="I138" s="3">
        <v>45568632</v>
      </c>
      <c r="J138" t="s">
        <v>20</v>
      </c>
      <c r="K138" s="1">
        <v>46142</v>
      </c>
      <c r="L138" s="3">
        <v>46220263</v>
      </c>
      <c r="M138" s="3">
        <v>46110366.626208</v>
      </c>
      <c r="N138" s="3">
        <v>46110366.626208</v>
      </c>
      <c r="O138" s="6"/>
      <c r="P138" t="s">
        <v>196</v>
      </c>
      <c r="Q138" s="3">
        <v>11</v>
      </c>
      <c r="R138" s="5">
        <v>3.0554999999999999E-2</v>
      </c>
      <c r="S138" s="6" t="s">
        <v>143</v>
      </c>
      <c r="T138" t="s">
        <v>21</v>
      </c>
    </row>
    <row r="139" spans="1:20" x14ac:dyDescent="0.25">
      <c r="A139" t="s">
        <v>32</v>
      </c>
      <c r="B139" t="s">
        <v>33</v>
      </c>
      <c r="C139" t="s">
        <v>34</v>
      </c>
      <c r="D139" t="s">
        <v>35</v>
      </c>
      <c r="E139" t="s">
        <v>1352</v>
      </c>
      <c r="F139" t="s">
        <v>19</v>
      </c>
      <c r="G139" s="2">
        <v>46141</v>
      </c>
      <c r="H139" s="2">
        <v>46245</v>
      </c>
      <c r="I139" s="3">
        <v>81999951</v>
      </c>
      <c r="J139" t="s">
        <v>20</v>
      </c>
      <c r="K139" s="1">
        <v>46142</v>
      </c>
      <c r="L139" s="3">
        <v>83790830</v>
      </c>
      <c r="M139" s="3">
        <v>82016806.475925997</v>
      </c>
      <c r="N139" s="3">
        <v>82016806.475925997</v>
      </c>
      <c r="O139" s="6" t="s">
        <v>409</v>
      </c>
      <c r="P139" t="s">
        <v>201</v>
      </c>
      <c r="Q139" s="3">
        <v>103</v>
      </c>
      <c r="R139" s="5">
        <v>0.286111</v>
      </c>
      <c r="S139" s="6" t="s">
        <v>141</v>
      </c>
      <c r="T139" t="s">
        <v>21</v>
      </c>
    </row>
    <row r="140" spans="1:20" x14ac:dyDescent="0.25">
      <c r="A140" t="s">
        <v>32</v>
      </c>
      <c r="B140" t="s">
        <v>33</v>
      </c>
      <c r="C140" t="s">
        <v>34</v>
      </c>
      <c r="D140" t="s">
        <v>35</v>
      </c>
      <c r="E140" t="s">
        <v>1352</v>
      </c>
      <c r="F140" t="s">
        <v>19</v>
      </c>
      <c r="G140" s="2">
        <v>46141</v>
      </c>
      <c r="H140" s="2">
        <v>46245</v>
      </c>
      <c r="I140" s="3">
        <v>213133892</v>
      </c>
      <c r="J140" t="s">
        <v>20</v>
      </c>
      <c r="K140" s="1">
        <v>46142</v>
      </c>
      <c r="L140" s="3">
        <v>217788736</v>
      </c>
      <c r="M140" s="3">
        <v>213177702.29926699</v>
      </c>
      <c r="N140" s="3">
        <v>213177702.29926699</v>
      </c>
      <c r="O140" s="6" t="s">
        <v>409</v>
      </c>
      <c r="P140" t="s">
        <v>201</v>
      </c>
      <c r="Q140" s="3">
        <v>103</v>
      </c>
      <c r="R140" s="5">
        <v>0.286111</v>
      </c>
      <c r="S140" s="6" t="s">
        <v>141</v>
      </c>
      <c r="T140" t="s">
        <v>21</v>
      </c>
    </row>
    <row r="141" spans="1:20" x14ac:dyDescent="0.25">
      <c r="A141" t="s">
        <v>32</v>
      </c>
      <c r="B141" t="s">
        <v>33</v>
      </c>
      <c r="C141" t="s">
        <v>34</v>
      </c>
      <c r="D141" t="s">
        <v>35</v>
      </c>
      <c r="E141" t="s">
        <v>1352</v>
      </c>
      <c r="F141" t="s">
        <v>19</v>
      </c>
      <c r="G141" s="2">
        <v>46141</v>
      </c>
      <c r="H141" s="2">
        <v>46245</v>
      </c>
      <c r="I141" s="3">
        <v>101958960</v>
      </c>
      <c r="J141" t="s">
        <v>20</v>
      </c>
      <c r="K141" s="1">
        <v>46142</v>
      </c>
      <c r="L141" s="3">
        <v>104185744</v>
      </c>
      <c r="M141" s="3">
        <v>101979918.365749</v>
      </c>
      <c r="N141" s="3">
        <v>101979918.365749</v>
      </c>
      <c r="O141" s="6" t="s">
        <v>409</v>
      </c>
      <c r="P141" t="s">
        <v>201</v>
      </c>
      <c r="Q141" s="3">
        <v>103</v>
      </c>
      <c r="R141" s="5">
        <v>0.286111</v>
      </c>
      <c r="S141" s="6" t="s">
        <v>141</v>
      </c>
      <c r="T141" t="s">
        <v>21</v>
      </c>
    </row>
    <row r="142" spans="1:20" x14ac:dyDescent="0.25">
      <c r="A142" t="s">
        <v>32</v>
      </c>
      <c r="B142" t="s">
        <v>33</v>
      </c>
      <c r="C142" t="s">
        <v>34</v>
      </c>
      <c r="D142" t="s">
        <v>35</v>
      </c>
      <c r="E142" t="s">
        <v>46</v>
      </c>
      <c r="F142" t="s">
        <v>19</v>
      </c>
      <c r="G142" s="2">
        <v>46050</v>
      </c>
      <c r="H142" s="2">
        <v>46154</v>
      </c>
      <c r="I142" s="3">
        <v>118528230</v>
      </c>
      <c r="J142" t="s">
        <v>20</v>
      </c>
      <c r="K142" s="1">
        <v>46142</v>
      </c>
      <c r="L142" s="3">
        <v>120248865</v>
      </c>
      <c r="M142" s="3">
        <v>119937028.72531401</v>
      </c>
      <c r="N142" s="3">
        <v>119937028.72531401</v>
      </c>
      <c r="O142" s="6" t="s">
        <v>159</v>
      </c>
      <c r="P142" t="s">
        <v>196</v>
      </c>
      <c r="Q142" s="3">
        <v>12</v>
      </c>
      <c r="R142" s="5">
        <v>3.3333000000000002E-2</v>
      </c>
      <c r="S142" s="6" t="s">
        <v>143</v>
      </c>
      <c r="T142" t="s">
        <v>21</v>
      </c>
    </row>
    <row r="143" spans="1:20" x14ac:dyDescent="0.25">
      <c r="A143" t="s">
        <v>32</v>
      </c>
      <c r="B143" t="s">
        <v>33</v>
      </c>
      <c r="C143" t="s">
        <v>34</v>
      </c>
      <c r="D143" t="s">
        <v>35</v>
      </c>
      <c r="E143" t="s">
        <v>46</v>
      </c>
      <c r="F143" t="s">
        <v>19</v>
      </c>
      <c r="G143" s="2">
        <v>46050</v>
      </c>
      <c r="H143" s="2">
        <v>46154</v>
      </c>
      <c r="I143" s="3">
        <v>143917464</v>
      </c>
      <c r="J143" t="s">
        <v>20</v>
      </c>
      <c r="K143" s="1">
        <v>46142</v>
      </c>
      <c r="L143" s="3">
        <v>146006666</v>
      </c>
      <c r="M143" s="3">
        <v>145628033.113904</v>
      </c>
      <c r="N143" s="3">
        <v>145628033.113904</v>
      </c>
      <c r="O143" s="6" t="s">
        <v>159</v>
      </c>
      <c r="P143" t="s">
        <v>196</v>
      </c>
      <c r="Q143" s="3">
        <v>12</v>
      </c>
      <c r="R143" s="5">
        <v>3.3333000000000002E-2</v>
      </c>
      <c r="S143" s="6" t="s">
        <v>143</v>
      </c>
      <c r="T143" t="s">
        <v>21</v>
      </c>
    </row>
    <row r="144" spans="1:20" x14ac:dyDescent="0.25">
      <c r="A144" t="s">
        <v>32</v>
      </c>
      <c r="B144" t="s">
        <v>33</v>
      </c>
      <c r="C144" t="s">
        <v>34</v>
      </c>
      <c r="D144" t="s">
        <v>35</v>
      </c>
      <c r="E144" t="s">
        <v>46</v>
      </c>
      <c r="F144" t="s">
        <v>19</v>
      </c>
      <c r="G144" s="2">
        <v>46050</v>
      </c>
      <c r="H144" s="2">
        <v>46154</v>
      </c>
      <c r="I144" s="3">
        <v>139804555</v>
      </c>
      <c r="J144" t="s">
        <v>20</v>
      </c>
      <c r="K144" s="1">
        <v>46142</v>
      </c>
      <c r="L144" s="3">
        <v>141834051</v>
      </c>
      <c r="M144" s="3">
        <v>141466238.779174</v>
      </c>
      <c r="N144" s="3">
        <v>141466238.779174</v>
      </c>
      <c r="O144" s="6" t="s">
        <v>159</v>
      </c>
      <c r="P144" t="s">
        <v>196</v>
      </c>
      <c r="Q144" s="3">
        <v>12</v>
      </c>
      <c r="R144" s="5">
        <v>3.3333000000000002E-2</v>
      </c>
      <c r="S144" s="6" t="s">
        <v>143</v>
      </c>
      <c r="T144" t="s">
        <v>21</v>
      </c>
    </row>
    <row r="145" spans="1:20" x14ac:dyDescent="0.25">
      <c r="A145" t="s">
        <v>32</v>
      </c>
      <c r="B145" t="s">
        <v>33</v>
      </c>
      <c r="C145" t="s">
        <v>34</v>
      </c>
      <c r="D145" t="s">
        <v>35</v>
      </c>
      <c r="E145" t="s">
        <v>1353</v>
      </c>
      <c r="F145" t="s">
        <v>19</v>
      </c>
      <c r="G145" s="2">
        <v>46142</v>
      </c>
      <c r="H145" s="2">
        <v>46246</v>
      </c>
      <c r="I145" s="3">
        <v>25157500</v>
      </c>
      <c r="J145" t="s">
        <v>20</v>
      </c>
      <c r="K145" s="1">
        <v>46142</v>
      </c>
      <c r="L145" s="3">
        <v>25706940</v>
      </c>
      <c r="M145" s="3">
        <v>25157500.195725001</v>
      </c>
      <c r="N145" s="3">
        <v>25157500.195725001</v>
      </c>
      <c r="O145" s="6" t="s">
        <v>1274</v>
      </c>
      <c r="P145" t="s">
        <v>201</v>
      </c>
      <c r="Q145" s="3">
        <v>104</v>
      </c>
      <c r="R145" s="5">
        <v>0.28888799999999998</v>
      </c>
      <c r="S145" s="6" t="s">
        <v>141</v>
      </c>
      <c r="T145" t="s">
        <v>21</v>
      </c>
    </row>
    <row r="146" spans="1:20" x14ac:dyDescent="0.25">
      <c r="A146" t="s">
        <v>32</v>
      </c>
      <c r="B146" t="s">
        <v>33</v>
      </c>
      <c r="C146" t="s">
        <v>34</v>
      </c>
      <c r="D146" t="s">
        <v>35</v>
      </c>
      <c r="E146" t="s">
        <v>1353</v>
      </c>
      <c r="F146" t="s">
        <v>19</v>
      </c>
      <c r="G146" s="2">
        <v>46142</v>
      </c>
      <c r="H146" s="2">
        <v>46246</v>
      </c>
      <c r="I146" s="3">
        <v>63887260</v>
      </c>
      <c r="J146" t="s">
        <v>20</v>
      </c>
      <c r="K146" s="1">
        <v>46142</v>
      </c>
      <c r="L146" s="3">
        <v>65282558</v>
      </c>
      <c r="M146" s="3">
        <v>63887260.236436002</v>
      </c>
      <c r="N146" s="3">
        <v>63887260.236436002</v>
      </c>
      <c r="O146" s="6" t="s">
        <v>1274</v>
      </c>
      <c r="P146" t="s">
        <v>201</v>
      </c>
      <c r="Q146" s="3">
        <v>104</v>
      </c>
      <c r="R146" s="5">
        <v>0.28888799999999998</v>
      </c>
      <c r="S146" s="6" t="s">
        <v>141</v>
      </c>
      <c r="T146" t="s">
        <v>21</v>
      </c>
    </row>
    <row r="147" spans="1:20" x14ac:dyDescent="0.25">
      <c r="A147" t="s">
        <v>32</v>
      </c>
      <c r="B147" t="s">
        <v>33</v>
      </c>
      <c r="C147" t="s">
        <v>34</v>
      </c>
      <c r="D147" t="s">
        <v>35</v>
      </c>
      <c r="E147" t="s">
        <v>1353</v>
      </c>
      <c r="F147" t="s">
        <v>19</v>
      </c>
      <c r="G147" s="2">
        <v>46142</v>
      </c>
      <c r="H147" s="2">
        <v>46246</v>
      </c>
      <c r="I147" s="3">
        <v>4583698</v>
      </c>
      <c r="J147" t="s">
        <v>20</v>
      </c>
      <c r="K147" s="1">
        <v>46142</v>
      </c>
      <c r="L147" s="3">
        <v>4683806</v>
      </c>
      <c r="M147" s="3">
        <v>4583698.0349169997</v>
      </c>
      <c r="N147" s="3">
        <v>4583698.0349169997</v>
      </c>
      <c r="O147" s="6" t="s">
        <v>1274</v>
      </c>
      <c r="P147" t="s">
        <v>201</v>
      </c>
      <c r="Q147" s="3">
        <v>104</v>
      </c>
      <c r="R147" s="5">
        <v>0.28888799999999998</v>
      </c>
      <c r="S147" s="6" t="s">
        <v>141</v>
      </c>
      <c r="T147" t="s">
        <v>21</v>
      </c>
    </row>
    <row r="148" spans="1:20" x14ac:dyDescent="0.25">
      <c r="A148" t="s">
        <v>32</v>
      </c>
      <c r="B148" t="s">
        <v>33</v>
      </c>
      <c r="C148" t="s">
        <v>34</v>
      </c>
      <c r="D148" t="s">
        <v>35</v>
      </c>
      <c r="E148" t="s">
        <v>1353</v>
      </c>
      <c r="F148" t="s">
        <v>19</v>
      </c>
      <c r="G148" s="2">
        <v>46142</v>
      </c>
      <c r="H148" s="2">
        <v>46246</v>
      </c>
      <c r="I148" s="3">
        <v>261211689</v>
      </c>
      <c r="J148" t="s">
        <v>20</v>
      </c>
      <c r="K148" s="1">
        <v>46142</v>
      </c>
      <c r="L148" s="3">
        <v>266916552</v>
      </c>
      <c r="M148" s="3">
        <v>261211688.71838999</v>
      </c>
      <c r="N148" s="3">
        <v>261211688.71838999</v>
      </c>
      <c r="O148" s="6" t="s">
        <v>1274</v>
      </c>
      <c r="P148" t="s">
        <v>201</v>
      </c>
      <c r="Q148" s="3">
        <v>104</v>
      </c>
      <c r="R148" s="5">
        <v>0.28888799999999998</v>
      </c>
      <c r="S148" s="6" t="s">
        <v>141</v>
      </c>
      <c r="T148" t="s">
        <v>21</v>
      </c>
    </row>
    <row r="149" spans="1:20" x14ac:dyDescent="0.25">
      <c r="A149" t="s">
        <v>32</v>
      </c>
      <c r="B149" t="s">
        <v>33</v>
      </c>
      <c r="C149" t="s">
        <v>34</v>
      </c>
      <c r="D149" t="s">
        <v>35</v>
      </c>
      <c r="E149" t="s">
        <v>1353</v>
      </c>
      <c r="F149" t="s">
        <v>19</v>
      </c>
      <c r="G149" s="2">
        <v>46142</v>
      </c>
      <c r="H149" s="2">
        <v>46246</v>
      </c>
      <c r="I149" s="3">
        <v>63916765</v>
      </c>
      <c r="J149" t="s">
        <v>20</v>
      </c>
      <c r="K149" s="1">
        <v>46142</v>
      </c>
      <c r="L149" s="3">
        <v>65312707</v>
      </c>
      <c r="M149" s="3">
        <v>63916764.855554998</v>
      </c>
      <c r="N149" s="3">
        <v>63916764.855554998</v>
      </c>
      <c r="O149" s="6" t="s">
        <v>1274</v>
      </c>
      <c r="P149" t="s">
        <v>201</v>
      </c>
      <c r="Q149" s="3">
        <v>104</v>
      </c>
      <c r="R149" s="5">
        <v>0.28888799999999998</v>
      </c>
      <c r="S149" s="6" t="s">
        <v>141</v>
      </c>
      <c r="T149" t="s">
        <v>21</v>
      </c>
    </row>
    <row r="150" spans="1:20" x14ac:dyDescent="0.25">
      <c r="A150" t="s">
        <v>32</v>
      </c>
      <c r="B150" t="s">
        <v>33</v>
      </c>
      <c r="C150" t="s">
        <v>34</v>
      </c>
      <c r="D150" t="s">
        <v>35</v>
      </c>
      <c r="E150" t="s">
        <v>1353</v>
      </c>
      <c r="F150" t="s">
        <v>19</v>
      </c>
      <c r="G150" s="2">
        <v>46142</v>
      </c>
      <c r="H150" s="2">
        <v>46246</v>
      </c>
      <c r="I150" s="3">
        <v>261799215</v>
      </c>
      <c r="J150" t="s">
        <v>20</v>
      </c>
      <c r="K150" s="1">
        <v>46142</v>
      </c>
      <c r="L150" s="3">
        <v>267516910</v>
      </c>
      <c r="M150" s="3">
        <v>261799215.141314</v>
      </c>
      <c r="N150" s="3">
        <v>261799215.141314</v>
      </c>
      <c r="O150" s="6" t="s">
        <v>1274</v>
      </c>
      <c r="P150" t="s">
        <v>201</v>
      </c>
      <c r="Q150" s="3">
        <v>104</v>
      </c>
      <c r="R150" s="5">
        <v>0.28888799999999998</v>
      </c>
      <c r="S150" s="6" t="s">
        <v>141</v>
      </c>
      <c r="T150" t="s">
        <v>21</v>
      </c>
    </row>
    <row r="151" spans="1:20" x14ac:dyDescent="0.25">
      <c r="A151" t="s">
        <v>32</v>
      </c>
      <c r="B151" t="s">
        <v>33</v>
      </c>
      <c r="C151" t="s">
        <v>34</v>
      </c>
      <c r="D151" t="s">
        <v>35</v>
      </c>
      <c r="E151" t="s">
        <v>1353</v>
      </c>
      <c r="F151" t="s">
        <v>19</v>
      </c>
      <c r="G151" s="2">
        <v>46142</v>
      </c>
      <c r="H151" s="2">
        <v>46246</v>
      </c>
      <c r="I151" s="3">
        <v>164721709</v>
      </c>
      <c r="J151" t="s">
        <v>20</v>
      </c>
      <c r="K151" s="1">
        <v>46142</v>
      </c>
      <c r="L151" s="3">
        <v>168319231</v>
      </c>
      <c r="M151" s="3">
        <v>164721708.878102</v>
      </c>
      <c r="N151" s="3">
        <v>164721708.878102</v>
      </c>
      <c r="O151" s="6" t="s">
        <v>1274</v>
      </c>
      <c r="P151" t="s">
        <v>201</v>
      </c>
      <c r="Q151" s="3">
        <v>104</v>
      </c>
      <c r="R151" s="5">
        <v>0.28888799999999998</v>
      </c>
      <c r="S151" s="6" t="s">
        <v>141</v>
      </c>
      <c r="T151" t="s">
        <v>21</v>
      </c>
    </row>
    <row r="152" spans="1:20" x14ac:dyDescent="0.25">
      <c r="A152" t="s">
        <v>32</v>
      </c>
      <c r="B152" t="s">
        <v>33</v>
      </c>
      <c r="C152" t="s">
        <v>34</v>
      </c>
      <c r="D152" t="s">
        <v>35</v>
      </c>
      <c r="E152" t="s">
        <v>47</v>
      </c>
      <c r="F152" t="s">
        <v>19</v>
      </c>
      <c r="G152" s="2">
        <v>46052</v>
      </c>
      <c r="H152" s="2">
        <v>46155</v>
      </c>
      <c r="I152" s="3">
        <v>74438112</v>
      </c>
      <c r="J152" t="s">
        <v>20</v>
      </c>
      <c r="K152" s="1">
        <v>46142</v>
      </c>
      <c r="L152" s="3">
        <v>75534834</v>
      </c>
      <c r="M152" s="3">
        <v>75322675.131712005</v>
      </c>
      <c r="N152" s="3">
        <v>75322675.131712005</v>
      </c>
      <c r="O152" s="6" t="s">
        <v>1282</v>
      </c>
      <c r="P152" t="s">
        <v>201</v>
      </c>
      <c r="Q152" s="3">
        <v>13</v>
      </c>
      <c r="R152" s="5">
        <v>3.6110999999999997E-2</v>
      </c>
      <c r="S152" s="6" t="s">
        <v>143</v>
      </c>
      <c r="T152" t="s">
        <v>21</v>
      </c>
    </row>
    <row r="153" spans="1:20" x14ac:dyDescent="0.25">
      <c r="A153" t="s">
        <v>32</v>
      </c>
      <c r="B153" t="s">
        <v>33</v>
      </c>
      <c r="C153" t="s">
        <v>34</v>
      </c>
      <c r="D153" t="s">
        <v>35</v>
      </c>
      <c r="E153" t="s">
        <v>47</v>
      </c>
      <c r="F153" t="s">
        <v>19</v>
      </c>
      <c r="G153" s="2">
        <v>46052</v>
      </c>
      <c r="H153" s="2">
        <v>46155</v>
      </c>
      <c r="I153" s="3">
        <v>205005755</v>
      </c>
      <c r="J153" t="s">
        <v>20</v>
      </c>
      <c r="K153" s="1">
        <v>46142</v>
      </c>
      <c r="L153" s="3">
        <v>208026173</v>
      </c>
      <c r="M153" s="3">
        <v>207441878.37590799</v>
      </c>
      <c r="N153" s="3">
        <v>207441878.37590799</v>
      </c>
      <c r="O153" s="6" t="s">
        <v>1282</v>
      </c>
      <c r="P153" t="s">
        <v>201</v>
      </c>
      <c r="Q153" s="3">
        <v>13</v>
      </c>
      <c r="R153" s="5">
        <v>3.6110999999999997E-2</v>
      </c>
      <c r="S153" s="6" t="s">
        <v>143</v>
      </c>
      <c r="T153" t="s">
        <v>21</v>
      </c>
    </row>
    <row r="154" spans="1:20" x14ac:dyDescent="0.25">
      <c r="A154" t="s">
        <v>32</v>
      </c>
      <c r="B154" t="s">
        <v>33</v>
      </c>
      <c r="C154" t="s">
        <v>34</v>
      </c>
      <c r="D154" t="s">
        <v>35</v>
      </c>
      <c r="E154" t="s">
        <v>1354</v>
      </c>
      <c r="F154" t="s">
        <v>19</v>
      </c>
      <c r="G154" s="2">
        <v>46118</v>
      </c>
      <c r="H154" s="2">
        <v>46216</v>
      </c>
      <c r="I154" s="3">
        <v>213564358</v>
      </c>
      <c r="J154" t="s">
        <v>20</v>
      </c>
      <c r="K154" s="1">
        <v>46142</v>
      </c>
      <c r="L154" s="3">
        <v>217959512</v>
      </c>
      <c r="M154" s="3">
        <v>214624251.137326</v>
      </c>
      <c r="N154" s="3">
        <v>214624251.137326</v>
      </c>
      <c r="O154" s="6" t="s">
        <v>370</v>
      </c>
      <c r="P154" t="s">
        <v>201</v>
      </c>
      <c r="Q154" s="3">
        <v>74</v>
      </c>
      <c r="R154" s="5">
        <v>0.20555499999999999</v>
      </c>
      <c r="S154" s="6" t="s">
        <v>145</v>
      </c>
      <c r="T154" t="s">
        <v>21</v>
      </c>
    </row>
    <row r="155" spans="1:20" x14ac:dyDescent="0.25">
      <c r="A155" t="s">
        <v>32</v>
      </c>
      <c r="B155" t="s">
        <v>33</v>
      </c>
      <c r="C155" t="s">
        <v>34</v>
      </c>
      <c r="D155" t="s">
        <v>35</v>
      </c>
      <c r="E155" t="s">
        <v>48</v>
      </c>
      <c r="F155" t="s">
        <v>19</v>
      </c>
      <c r="G155" s="2">
        <v>46051</v>
      </c>
      <c r="H155" s="2">
        <v>46156</v>
      </c>
      <c r="I155" s="3">
        <v>72547083</v>
      </c>
      <c r="J155" t="s">
        <v>20</v>
      </c>
      <c r="K155" s="1">
        <v>46142</v>
      </c>
      <c r="L155" s="3">
        <v>73631662</v>
      </c>
      <c r="M155" s="3">
        <v>73408988.069521993</v>
      </c>
      <c r="N155" s="3">
        <v>73408988.069521993</v>
      </c>
      <c r="O155" s="6" t="s">
        <v>161</v>
      </c>
      <c r="P155" t="s">
        <v>300</v>
      </c>
      <c r="Q155" s="3">
        <v>14</v>
      </c>
      <c r="R155" s="5">
        <v>3.8887999999999999E-2</v>
      </c>
      <c r="S155" s="6" t="s">
        <v>143</v>
      </c>
      <c r="T155" t="s">
        <v>21</v>
      </c>
    </row>
    <row r="156" spans="1:20" x14ac:dyDescent="0.25">
      <c r="A156" t="s">
        <v>32</v>
      </c>
      <c r="B156" t="s">
        <v>33</v>
      </c>
      <c r="C156" t="s">
        <v>34</v>
      </c>
      <c r="D156" t="s">
        <v>35</v>
      </c>
      <c r="E156" t="s">
        <v>48</v>
      </c>
      <c r="F156" t="s">
        <v>19</v>
      </c>
      <c r="G156" s="2">
        <v>46051</v>
      </c>
      <c r="H156" s="2">
        <v>46156</v>
      </c>
      <c r="I156" s="3">
        <v>2169846</v>
      </c>
      <c r="J156" t="s">
        <v>20</v>
      </c>
      <c r="K156" s="1">
        <v>46142</v>
      </c>
      <c r="L156" s="3">
        <v>2202285</v>
      </c>
      <c r="M156" s="3">
        <v>2195624.9376889998</v>
      </c>
      <c r="N156" s="3">
        <v>2195624.9376889998</v>
      </c>
      <c r="O156" s="6" t="s">
        <v>161</v>
      </c>
      <c r="P156" t="s">
        <v>300</v>
      </c>
      <c r="Q156" s="3">
        <v>14</v>
      </c>
      <c r="R156" s="5">
        <v>3.8887999999999999E-2</v>
      </c>
      <c r="S156" s="6" t="s">
        <v>143</v>
      </c>
      <c r="T156" t="s">
        <v>21</v>
      </c>
    </row>
    <row r="157" spans="1:20" x14ac:dyDescent="0.25">
      <c r="A157" t="s">
        <v>32</v>
      </c>
      <c r="B157" t="s">
        <v>33</v>
      </c>
      <c r="C157" t="s">
        <v>34</v>
      </c>
      <c r="D157" t="s">
        <v>35</v>
      </c>
      <c r="E157" t="s">
        <v>48</v>
      </c>
      <c r="F157" t="s">
        <v>19</v>
      </c>
      <c r="G157" s="2">
        <v>46051</v>
      </c>
      <c r="H157" s="2">
        <v>46156</v>
      </c>
      <c r="I157" s="3">
        <v>66688193</v>
      </c>
      <c r="J157" t="s">
        <v>20</v>
      </c>
      <c r="K157" s="1">
        <v>46142</v>
      </c>
      <c r="L157" s="3">
        <v>67685181</v>
      </c>
      <c r="M157" s="3">
        <v>67480490.179787993</v>
      </c>
      <c r="N157" s="3">
        <v>67480490.179787993</v>
      </c>
      <c r="O157" s="6" t="s">
        <v>161</v>
      </c>
      <c r="P157" t="s">
        <v>300</v>
      </c>
      <c r="Q157" s="3">
        <v>14</v>
      </c>
      <c r="R157" s="5">
        <v>3.8887999999999999E-2</v>
      </c>
      <c r="S157" s="6" t="s">
        <v>143</v>
      </c>
      <c r="T157" t="s">
        <v>21</v>
      </c>
    </row>
    <row r="158" spans="1:20" x14ac:dyDescent="0.25">
      <c r="A158" t="s">
        <v>32</v>
      </c>
      <c r="B158" t="s">
        <v>33</v>
      </c>
      <c r="C158" t="s">
        <v>34</v>
      </c>
      <c r="D158" t="s">
        <v>35</v>
      </c>
      <c r="E158" t="s">
        <v>1305</v>
      </c>
      <c r="F158" t="s">
        <v>19</v>
      </c>
      <c r="G158" s="2">
        <v>46090</v>
      </c>
      <c r="H158" s="2">
        <v>46188</v>
      </c>
      <c r="I158" s="3">
        <v>1217058175</v>
      </c>
      <c r="J158" t="s">
        <v>20</v>
      </c>
      <c r="K158" s="1">
        <v>46142</v>
      </c>
      <c r="L158" s="3">
        <v>1241338486</v>
      </c>
      <c r="M158" s="3">
        <v>1229461884.1986411</v>
      </c>
      <c r="N158" s="3">
        <v>1229461884.1986411</v>
      </c>
      <c r="O158" s="6" t="s">
        <v>1254</v>
      </c>
      <c r="P158" t="s">
        <v>196</v>
      </c>
      <c r="Q158" s="3">
        <v>46</v>
      </c>
      <c r="R158" s="5">
        <v>0.127777</v>
      </c>
      <c r="S158" s="6" t="s">
        <v>145</v>
      </c>
      <c r="T158" t="s">
        <v>21</v>
      </c>
    </row>
    <row r="159" spans="1:20" x14ac:dyDescent="0.25">
      <c r="A159" t="s">
        <v>32</v>
      </c>
      <c r="B159" t="s">
        <v>33</v>
      </c>
      <c r="C159" t="s">
        <v>34</v>
      </c>
      <c r="D159" t="s">
        <v>35</v>
      </c>
      <c r="E159" t="s">
        <v>1306</v>
      </c>
      <c r="F159" t="s">
        <v>19</v>
      </c>
      <c r="G159" s="2">
        <v>46091</v>
      </c>
      <c r="H159" s="2">
        <v>46189</v>
      </c>
      <c r="I159" s="3">
        <v>456101772</v>
      </c>
      <c r="J159" t="s">
        <v>20</v>
      </c>
      <c r="K159" s="1">
        <v>46142</v>
      </c>
      <c r="L159" s="3">
        <v>465786333</v>
      </c>
      <c r="M159" s="3">
        <v>461090890.76240301</v>
      </c>
      <c r="N159" s="3">
        <v>461090890.76240301</v>
      </c>
      <c r="O159" s="6"/>
      <c r="P159" t="s">
        <v>196</v>
      </c>
      <c r="Q159" s="3">
        <v>47</v>
      </c>
      <c r="R159" s="5">
        <v>0.130555</v>
      </c>
      <c r="S159" s="6" t="s">
        <v>145</v>
      </c>
      <c r="T159" t="s">
        <v>21</v>
      </c>
    </row>
    <row r="160" spans="1:20" x14ac:dyDescent="0.25">
      <c r="A160" t="s">
        <v>32</v>
      </c>
      <c r="B160" t="s">
        <v>33</v>
      </c>
      <c r="C160" t="s">
        <v>34</v>
      </c>
      <c r="D160" t="s">
        <v>35</v>
      </c>
      <c r="E160" t="s">
        <v>1306</v>
      </c>
      <c r="F160" t="s">
        <v>19</v>
      </c>
      <c r="G160" s="2">
        <v>46091</v>
      </c>
      <c r="H160" s="2">
        <v>46189</v>
      </c>
      <c r="I160" s="3">
        <v>527050936</v>
      </c>
      <c r="J160" t="s">
        <v>20</v>
      </c>
      <c r="K160" s="1">
        <v>46142</v>
      </c>
      <c r="L160" s="3">
        <v>538241984</v>
      </c>
      <c r="M160" s="3">
        <v>532816139.64461899</v>
      </c>
      <c r="N160" s="3">
        <v>532816139.64461899</v>
      </c>
      <c r="O160" s="6"/>
      <c r="P160" t="s">
        <v>196</v>
      </c>
      <c r="Q160" s="3">
        <v>47</v>
      </c>
      <c r="R160" s="5">
        <v>0.130555</v>
      </c>
      <c r="S160" s="6" t="s">
        <v>145</v>
      </c>
      <c r="T160" t="s">
        <v>21</v>
      </c>
    </row>
    <row r="161" spans="1:20" x14ac:dyDescent="0.25">
      <c r="A161" t="s">
        <v>32</v>
      </c>
      <c r="B161" t="s">
        <v>33</v>
      </c>
      <c r="C161" t="s">
        <v>34</v>
      </c>
      <c r="D161" t="s">
        <v>35</v>
      </c>
      <c r="E161" t="s">
        <v>1307</v>
      </c>
      <c r="F161" t="s">
        <v>19</v>
      </c>
      <c r="G161" s="2">
        <v>46092</v>
      </c>
      <c r="H161" s="2">
        <v>46190</v>
      </c>
      <c r="I161" s="3">
        <v>1200735515</v>
      </c>
      <c r="J161" t="s">
        <v>20</v>
      </c>
      <c r="K161" s="1">
        <v>46142</v>
      </c>
      <c r="L161" s="3">
        <v>1225194497</v>
      </c>
      <c r="M161" s="3">
        <v>1212967781.759861</v>
      </c>
      <c r="N161" s="3">
        <v>1212967781.759861</v>
      </c>
      <c r="O161" s="6"/>
      <c r="P161" t="s">
        <v>196</v>
      </c>
      <c r="Q161" s="3">
        <v>48</v>
      </c>
      <c r="R161" s="5">
        <v>0.13333300000000001</v>
      </c>
      <c r="S161" s="6" t="s">
        <v>145</v>
      </c>
      <c r="T161" t="s">
        <v>21</v>
      </c>
    </row>
    <row r="162" spans="1:20" x14ac:dyDescent="0.25">
      <c r="A162" t="s">
        <v>32</v>
      </c>
      <c r="B162" t="s">
        <v>33</v>
      </c>
      <c r="C162" t="s">
        <v>34</v>
      </c>
      <c r="D162" t="s">
        <v>35</v>
      </c>
      <c r="E162" t="s">
        <v>1307</v>
      </c>
      <c r="F162" t="s">
        <v>19</v>
      </c>
      <c r="G162" s="2">
        <v>46092</v>
      </c>
      <c r="H162" s="2">
        <v>46190</v>
      </c>
      <c r="I162" s="3">
        <v>477904523</v>
      </c>
      <c r="J162" t="s">
        <v>20</v>
      </c>
      <c r="K162" s="1">
        <v>46142</v>
      </c>
      <c r="L162" s="3">
        <v>488052029</v>
      </c>
      <c r="M162" s="3">
        <v>483028532.26445001</v>
      </c>
      <c r="N162" s="3">
        <v>483028532.26445001</v>
      </c>
      <c r="O162" s="6"/>
      <c r="P162" t="s">
        <v>196</v>
      </c>
      <c r="Q162" s="3">
        <v>48</v>
      </c>
      <c r="R162" s="5">
        <v>0.13333300000000001</v>
      </c>
      <c r="S162" s="6" t="s">
        <v>145</v>
      </c>
      <c r="T162" t="s">
        <v>21</v>
      </c>
    </row>
    <row r="163" spans="1:20" x14ac:dyDescent="0.25">
      <c r="A163" t="s">
        <v>32</v>
      </c>
      <c r="B163" t="s">
        <v>33</v>
      </c>
      <c r="C163" t="s">
        <v>34</v>
      </c>
      <c r="D163" t="s">
        <v>35</v>
      </c>
      <c r="E163" t="s">
        <v>1307</v>
      </c>
      <c r="F163" t="s">
        <v>19</v>
      </c>
      <c r="G163" s="2">
        <v>46092</v>
      </c>
      <c r="H163" s="2">
        <v>46190</v>
      </c>
      <c r="I163" s="3">
        <v>1001976651</v>
      </c>
      <c r="J163" t="s">
        <v>20</v>
      </c>
      <c r="K163" s="1">
        <v>46142</v>
      </c>
      <c r="L163" s="3">
        <v>1022386915</v>
      </c>
      <c r="M163" s="3">
        <v>1012184099.279265</v>
      </c>
      <c r="N163" s="3">
        <v>1012184099.279265</v>
      </c>
      <c r="O163" s="6"/>
      <c r="P163" t="s">
        <v>196</v>
      </c>
      <c r="Q163" s="3">
        <v>48</v>
      </c>
      <c r="R163" s="5">
        <v>0.13333300000000001</v>
      </c>
      <c r="S163" s="6" t="s">
        <v>145</v>
      </c>
      <c r="T163" t="s">
        <v>21</v>
      </c>
    </row>
    <row r="164" spans="1:20" x14ac:dyDescent="0.25">
      <c r="A164" t="s">
        <v>32</v>
      </c>
      <c r="B164" t="s">
        <v>33</v>
      </c>
      <c r="C164" t="s">
        <v>34</v>
      </c>
      <c r="D164" t="s">
        <v>35</v>
      </c>
      <c r="E164" t="s">
        <v>1307</v>
      </c>
      <c r="F164" t="s">
        <v>19</v>
      </c>
      <c r="G164" s="2">
        <v>46092</v>
      </c>
      <c r="H164" s="2">
        <v>46190</v>
      </c>
      <c r="I164" s="3">
        <v>100674972</v>
      </c>
      <c r="J164" t="s">
        <v>20</v>
      </c>
      <c r="K164" s="1">
        <v>46142</v>
      </c>
      <c r="L164" s="3">
        <v>102812637</v>
      </c>
      <c r="M164" s="3">
        <v>101754391.330166</v>
      </c>
      <c r="N164" s="3">
        <v>101754391.330166</v>
      </c>
      <c r="O164" s="6"/>
      <c r="P164" t="s">
        <v>196</v>
      </c>
      <c r="Q164" s="3">
        <v>48</v>
      </c>
      <c r="R164" s="5">
        <v>0.13333300000000001</v>
      </c>
      <c r="S164" s="6" t="s">
        <v>145</v>
      </c>
      <c r="T164" t="s">
        <v>21</v>
      </c>
    </row>
    <row r="165" spans="1:20" x14ac:dyDescent="0.25">
      <c r="A165" t="s">
        <v>32</v>
      </c>
      <c r="B165" t="s">
        <v>33</v>
      </c>
      <c r="C165" t="s">
        <v>34</v>
      </c>
      <c r="D165" t="s">
        <v>35</v>
      </c>
      <c r="E165" t="s">
        <v>1307</v>
      </c>
      <c r="F165" t="s">
        <v>19</v>
      </c>
      <c r="G165" s="2">
        <v>46092</v>
      </c>
      <c r="H165" s="2">
        <v>46190</v>
      </c>
      <c r="I165" s="3">
        <v>69161337</v>
      </c>
      <c r="J165" t="s">
        <v>20</v>
      </c>
      <c r="K165" s="1">
        <v>46142</v>
      </c>
      <c r="L165" s="3">
        <v>70629863</v>
      </c>
      <c r="M165" s="3">
        <v>69902873.119556993</v>
      </c>
      <c r="N165" s="3">
        <v>69902873.119556993</v>
      </c>
      <c r="O165" s="6"/>
      <c r="P165" t="s">
        <v>196</v>
      </c>
      <c r="Q165" s="3">
        <v>48</v>
      </c>
      <c r="R165" s="5">
        <v>0.13333300000000001</v>
      </c>
      <c r="S165" s="6" t="s">
        <v>145</v>
      </c>
      <c r="T165" t="s">
        <v>21</v>
      </c>
    </row>
    <row r="166" spans="1:20" x14ac:dyDescent="0.25">
      <c r="A166" t="s">
        <v>32</v>
      </c>
      <c r="B166" t="s">
        <v>33</v>
      </c>
      <c r="C166" t="s">
        <v>34</v>
      </c>
      <c r="D166" t="s">
        <v>35</v>
      </c>
      <c r="E166" t="s">
        <v>49</v>
      </c>
      <c r="F166" t="s">
        <v>19</v>
      </c>
      <c r="G166" s="2">
        <v>46052</v>
      </c>
      <c r="H166" s="2">
        <v>46160</v>
      </c>
      <c r="I166" s="3">
        <v>133435938</v>
      </c>
      <c r="J166" t="s">
        <v>20</v>
      </c>
      <c r="K166" s="1">
        <v>46142</v>
      </c>
      <c r="L166" s="3">
        <v>135546450</v>
      </c>
      <c r="M166" s="3">
        <v>135019872.49726099</v>
      </c>
      <c r="N166" s="3">
        <v>135019872.49726099</v>
      </c>
      <c r="O166" s="6" t="s">
        <v>1355</v>
      </c>
      <c r="P166" t="s">
        <v>1349</v>
      </c>
      <c r="Q166" s="3">
        <v>18</v>
      </c>
      <c r="R166" s="5">
        <v>0.05</v>
      </c>
      <c r="S166" s="6" t="s">
        <v>143</v>
      </c>
      <c r="T166" t="s">
        <v>21</v>
      </c>
    </row>
    <row r="167" spans="1:20" x14ac:dyDescent="0.25">
      <c r="A167" t="s">
        <v>32</v>
      </c>
      <c r="B167" t="s">
        <v>33</v>
      </c>
      <c r="C167" t="s">
        <v>34</v>
      </c>
      <c r="D167" t="s">
        <v>35</v>
      </c>
      <c r="E167" t="s">
        <v>49</v>
      </c>
      <c r="F167" t="s">
        <v>19</v>
      </c>
      <c r="G167" s="2">
        <v>46052</v>
      </c>
      <c r="H167" s="2">
        <v>46160</v>
      </c>
      <c r="I167" s="3">
        <v>158727651</v>
      </c>
      <c r="J167" t="s">
        <v>20</v>
      </c>
      <c r="K167" s="1">
        <v>46142</v>
      </c>
      <c r="L167" s="3">
        <v>161238193</v>
      </c>
      <c r="M167" s="3">
        <v>160611806.95288399</v>
      </c>
      <c r="N167" s="3">
        <v>160611806.95288399</v>
      </c>
      <c r="O167" s="6" t="s">
        <v>1355</v>
      </c>
      <c r="P167" t="s">
        <v>1349</v>
      </c>
      <c r="Q167" s="3">
        <v>18</v>
      </c>
      <c r="R167" s="5">
        <v>0.05</v>
      </c>
      <c r="S167" s="6" t="s">
        <v>143</v>
      </c>
      <c r="T167" t="s">
        <v>21</v>
      </c>
    </row>
    <row r="168" spans="1:20" x14ac:dyDescent="0.25">
      <c r="A168" t="s">
        <v>32</v>
      </c>
      <c r="B168" t="s">
        <v>33</v>
      </c>
      <c r="C168" t="s">
        <v>34</v>
      </c>
      <c r="D168" t="s">
        <v>35</v>
      </c>
      <c r="E168" t="s">
        <v>49</v>
      </c>
      <c r="F168" t="s">
        <v>19</v>
      </c>
      <c r="G168" s="2">
        <v>46052</v>
      </c>
      <c r="H168" s="2">
        <v>46160</v>
      </c>
      <c r="I168" s="3">
        <v>166825292</v>
      </c>
      <c r="J168" t="s">
        <v>20</v>
      </c>
      <c r="K168" s="1">
        <v>46142</v>
      </c>
      <c r="L168" s="3">
        <v>169463912</v>
      </c>
      <c r="M168" s="3">
        <v>168805570.275924</v>
      </c>
      <c r="N168" s="3">
        <v>168805570.275924</v>
      </c>
      <c r="O168" s="6" t="s">
        <v>1355</v>
      </c>
      <c r="P168" t="s">
        <v>1349</v>
      </c>
      <c r="Q168" s="3">
        <v>18</v>
      </c>
      <c r="R168" s="5">
        <v>0.05</v>
      </c>
      <c r="S168" s="6" t="s">
        <v>143</v>
      </c>
      <c r="T168" t="s">
        <v>21</v>
      </c>
    </row>
    <row r="169" spans="1:20" x14ac:dyDescent="0.25">
      <c r="A169" t="s">
        <v>32</v>
      </c>
      <c r="B169" t="s">
        <v>33</v>
      </c>
      <c r="C169" t="s">
        <v>34</v>
      </c>
      <c r="D169" t="s">
        <v>35</v>
      </c>
      <c r="E169" t="s">
        <v>1308</v>
      </c>
      <c r="F169" t="s">
        <v>19</v>
      </c>
      <c r="G169" s="2">
        <v>46093</v>
      </c>
      <c r="H169" s="2">
        <v>46191</v>
      </c>
      <c r="I169" s="3">
        <v>56522753</v>
      </c>
      <c r="J169" t="s">
        <v>20</v>
      </c>
      <c r="K169" s="1">
        <v>46142</v>
      </c>
      <c r="L169" s="3">
        <v>57685991</v>
      </c>
      <c r="M169" s="3">
        <v>57098447.970385</v>
      </c>
      <c r="N169" s="3">
        <v>57098447.970385</v>
      </c>
      <c r="O169" s="6" t="s">
        <v>301</v>
      </c>
      <c r="P169" t="s">
        <v>201</v>
      </c>
      <c r="Q169" s="3">
        <v>49</v>
      </c>
      <c r="R169" s="5">
        <v>0.13611100000000001</v>
      </c>
      <c r="S169" s="6" t="s">
        <v>145</v>
      </c>
      <c r="T169" t="s">
        <v>21</v>
      </c>
    </row>
    <row r="170" spans="1:20" x14ac:dyDescent="0.25">
      <c r="A170" t="s">
        <v>32</v>
      </c>
      <c r="B170" t="s">
        <v>33</v>
      </c>
      <c r="C170" t="s">
        <v>34</v>
      </c>
      <c r="D170" t="s">
        <v>35</v>
      </c>
      <c r="E170" t="s">
        <v>1356</v>
      </c>
      <c r="F170" t="s">
        <v>19</v>
      </c>
      <c r="G170" s="2">
        <v>46127</v>
      </c>
      <c r="H170" s="2">
        <v>46226</v>
      </c>
      <c r="I170" s="3">
        <v>1019765999</v>
      </c>
      <c r="J170" t="s">
        <v>20</v>
      </c>
      <c r="K170" s="1">
        <v>46142</v>
      </c>
      <c r="L170" s="3">
        <v>1040966934</v>
      </c>
      <c r="M170" s="3">
        <v>1022922579.694194</v>
      </c>
      <c r="N170" s="3">
        <v>1022922579.694194</v>
      </c>
      <c r="O170" s="6"/>
      <c r="P170" t="s">
        <v>196</v>
      </c>
      <c r="Q170" s="3">
        <v>84</v>
      </c>
      <c r="R170" s="5">
        <v>0.23333300000000001</v>
      </c>
      <c r="S170" s="6" t="s">
        <v>145</v>
      </c>
      <c r="T170" t="s">
        <v>21</v>
      </c>
    </row>
    <row r="171" spans="1:20" x14ac:dyDescent="0.25">
      <c r="A171" t="s">
        <v>32</v>
      </c>
      <c r="B171" t="s">
        <v>33</v>
      </c>
      <c r="C171" t="s">
        <v>34</v>
      </c>
      <c r="D171" t="s">
        <v>35</v>
      </c>
      <c r="E171" t="s">
        <v>1356</v>
      </c>
      <c r="F171" t="s">
        <v>19</v>
      </c>
      <c r="G171" s="2">
        <v>46127</v>
      </c>
      <c r="H171" s="2">
        <v>46226</v>
      </c>
      <c r="I171" s="3">
        <v>263667172</v>
      </c>
      <c r="J171" t="s">
        <v>20</v>
      </c>
      <c r="K171" s="1">
        <v>46142</v>
      </c>
      <c r="L171" s="3">
        <v>269148813</v>
      </c>
      <c r="M171" s="3">
        <v>264483327.10978299</v>
      </c>
      <c r="N171" s="3">
        <v>264483327.10978299</v>
      </c>
      <c r="O171" s="6"/>
      <c r="P171" t="s">
        <v>196</v>
      </c>
      <c r="Q171" s="3">
        <v>84</v>
      </c>
      <c r="R171" s="5">
        <v>0.23333300000000001</v>
      </c>
      <c r="S171" s="6" t="s">
        <v>145</v>
      </c>
      <c r="T171" t="s">
        <v>21</v>
      </c>
    </row>
    <row r="172" spans="1:20" x14ac:dyDescent="0.25">
      <c r="A172" t="s">
        <v>32</v>
      </c>
      <c r="B172" t="s">
        <v>33</v>
      </c>
      <c r="C172" t="s">
        <v>34</v>
      </c>
      <c r="D172" t="s">
        <v>35</v>
      </c>
      <c r="E172" t="s">
        <v>1309</v>
      </c>
      <c r="F172" t="s">
        <v>19</v>
      </c>
      <c r="G172" s="2">
        <v>46099</v>
      </c>
      <c r="H172" s="2">
        <v>46197</v>
      </c>
      <c r="I172" s="3">
        <v>73237730</v>
      </c>
      <c r="J172" t="s">
        <v>20</v>
      </c>
      <c r="K172" s="1">
        <v>46142</v>
      </c>
      <c r="L172" s="3">
        <v>74744962</v>
      </c>
      <c r="M172" s="3">
        <v>73891515.001729995</v>
      </c>
      <c r="N172" s="3">
        <v>73891515.001729995</v>
      </c>
      <c r="O172" s="6" t="s">
        <v>313</v>
      </c>
      <c r="P172" t="s">
        <v>201</v>
      </c>
      <c r="Q172" s="3">
        <v>55</v>
      </c>
      <c r="R172" s="5">
        <v>0.152777</v>
      </c>
      <c r="S172" s="6" t="s">
        <v>145</v>
      </c>
      <c r="T172" t="s">
        <v>21</v>
      </c>
    </row>
    <row r="173" spans="1:20" x14ac:dyDescent="0.25">
      <c r="A173" t="s">
        <v>32</v>
      </c>
      <c r="B173" t="s">
        <v>33</v>
      </c>
      <c r="C173" t="s">
        <v>34</v>
      </c>
      <c r="D173" t="s">
        <v>35</v>
      </c>
      <c r="E173" t="s">
        <v>1357</v>
      </c>
      <c r="F173" t="s">
        <v>19</v>
      </c>
      <c r="G173" s="2">
        <v>46128</v>
      </c>
      <c r="H173" s="2">
        <v>46227</v>
      </c>
      <c r="I173" s="3">
        <v>101998549</v>
      </c>
      <c r="J173" t="s">
        <v>20</v>
      </c>
      <c r="K173" s="1">
        <v>46142</v>
      </c>
      <c r="L173" s="3">
        <v>104119099</v>
      </c>
      <c r="M173" s="3">
        <v>102293165.98713</v>
      </c>
      <c r="N173" s="3">
        <v>102293165.98713</v>
      </c>
      <c r="O173" s="6"/>
      <c r="P173" t="s">
        <v>196</v>
      </c>
      <c r="Q173" s="3">
        <v>85</v>
      </c>
      <c r="R173" s="5">
        <v>0.23611099999999999</v>
      </c>
      <c r="S173" s="6" t="s">
        <v>145</v>
      </c>
      <c r="T173" t="s">
        <v>21</v>
      </c>
    </row>
    <row r="174" spans="1:20" x14ac:dyDescent="0.25">
      <c r="A174" t="s">
        <v>32</v>
      </c>
      <c r="B174" t="s">
        <v>33</v>
      </c>
      <c r="C174" t="s">
        <v>34</v>
      </c>
      <c r="D174" t="s">
        <v>35</v>
      </c>
      <c r="E174" t="s">
        <v>1357</v>
      </c>
      <c r="F174" t="s">
        <v>19</v>
      </c>
      <c r="G174" s="2">
        <v>46128</v>
      </c>
      <c r="H174" s="2">
        <v>46227</v>
      </c>
      <c r="I174" s="3">
        <v>509992745</v>
      </c>
      <c r="J174" t="s">
        <v>20</v>
      </c>
      <c r="K174" s="1">
        <v>46142</v>
      </c>
      <c r="L174" s="3">
        <v>520595494</v>
      </c>
      <c r="M174" s="3">
        <v>511465828.95318598</v>
      </c>
      <c r="N174" s="3">
        <v>511465828.95318598</v>
      </c>
      <c r="O174" s="6"/>
      <c r="P174" t="s">
        <v>196</v>
      </c>
      <c r="Q174" s="3">
        <v>85</v>
      </c>
      <c r="R174" s="5">
        <v>0.23611099999999999</v>
      </c>
      <c r="S174" s="6" t="s">
        <v>145</v>
      </c>
      <c r="T174" t="s">
        <v>21</v>
      </c>
    </row>
    <row r="175" spans="1:20" x14ac:dyDescent="0.25">
      <c r="A175" t="s">
        <v>32</v>
      </c>
      <c r="B175" t="s">
        <v>33</v>
      </c>
      <c r="C175" t="s">
        <v>34</v>
      </c>
      <c r="D175" t="s">
        <v>35</v>
      </c>
      <c r="E175" t="s">
        <v>66</v>
      </c>
      <c r="F175" t="s">
        <v>19</v>
      </c>
      <c r="G175" s="2">
        <v>46063</v>
      </c>
      <c r="H175" s="2">
        <v>46168</v>
      </c>
      <c r="I175" s="3">
        <v>787870767</v>
      </c>
      <c r="J175" t="s">
        <v>20</v>
      </c>
      <c r="K175" s="1">
        <v>46142</v>
      </c>
      <c r="L175" s="3">
        <v>794654334</v>
      </c>
      <c r="M175" s="3">
        <v>790339082.60895503</v>
      </c>
      <c r="N175" s="3">
        <v>790339082.60895503</v>
      </c>
      <c r="O175" s="6" t="s">
        <v>406</v>
      </c>
      <c r="P175" t="s">
        <v>300</v>
      </c>
      <c r="Q175" s="3">
        <v>26</v>
      </c>
      <c r="R175" s="5">
        <v>7.2221999999999995E-2</v>
      </c>
      <c r="S175" s="6" t="s">
        <v>143</v>
      </c>
      <c r="T175" t="s">
        <v>21</v>
      </c>
    </row>
    <row r="176" spans="1:20" x14ac:dyDescent="0.25">
      <c r="A176" t="s">
        <v>32</v>
      </c>
      <c r="B176" t="s">
        <v>33</v>
      </c>
      <c r="C176" t="s">
        <v>34</v>
      </c>
      <c r="D176" t="s">
        <v>35</v>
      </c>
      <c r="E176" t="s">
        <v>50</v>
      </c>
      <c r="F176" t="s">
        <v>19</v>
      </c>
      <c r="G176" s="2">
        <v>46064</v>
      </c>
      <c r="H176" s="2">
        <v>46169</v>
      </c>
      <c r="I176" s="3">
        <v>229768910</v>
      </c>
      <c r="J176" t="s">
        <v>20</v>
      </c>
      <c r="K176" s="1">
        <v>46142</v>
      </c>
      <c r="L176" s="3">
        <v>233851138</v>
      </c>
      <c r="M176" s="3">
        <v>232491065.268181</v>
      </c>
      <c r="N176" s="3">
        <v>232491065.268181</v>
      </c>
      <c r="O176" s="6" t="s">
        <v>163</v>
      </c>
      <c r="P176" t="s">
        <v>201</v>
      </c>
      <c r="Q176" s="3">
        <v>27</v>
      </c>
      <c r="R176" s="5">
        <v>7.4999999999999997E-2</v>
      </c>
      <c r="S176" s="6" t="s">
        <v>143</v>
      </c>
      <c r="T176" t="s">
        <v>21</v>
      </c>
    </row>
    <row r="177" spans="1:20" x14ac:dyDescent="0.25">
      <c r="A177" t="s">
        <v>32</v>
      </c>
      <c r="B177" t="s">
        <v>33</v>
      </c>
      <c r="C177" t="s">
        <v>34</v>
      </c>
      <c r="D177" t="s">
        <v>35</v>
      </c>
      <c r="E177" t="s">
        <v>1310</v>
      </c>
      <c r="F177" t="s">
        <v>19</v>
      </c>
      <c r="G177" s="2">
        <v>46104</v>
      </c>
      <c r="H177" s="2">
        <v>46203</v>
      </c>
      <c r="I177" s="3">
        <v>39222390</v>
      </c>
      <c r="J177" t="s">
        <v>20</v>
      </c>
      <c r="K177" s="1">
        <v>46142</v>
      </c>
      <c r="L177" s="3">
        <v>40037823</v>
      </c>
      <c r="M177" s="3">
        <v>39531425.440112002</v>
      </c>
      <c r="N177" s="3">
        <v>39531425.440112002</v>
      </c>
      <c r="O177" s="6" t="s">
        <v>307</v>
      </c>
      <c r="P177" t="s">
        <v>201</v>
      </c>
      <c r="Q177" s="3">
        <v>61</v>
      </c>
      <c r="R177" s="5">
        <v>0.16944400000000001</v>
      </c>
      <c r="S177" s="6" t="s">
        <v>145</v>
      </c>
      <c r="T177" t="s">
        <v>21</v>
      </c>
    </row>
    <row r="178" spans="1:20" x14ac:dyDescent="0.25">
      <c r="A178" t="s">
        <v>32</v>
      </c>
      <c r="B178" t="s">
        <v>33</v>
      </c>
      <c r="C178" t="s">
        <v>34</v>
      </c>
      <c r="D178" t="s">
        <v>35</v>
      </c>
      <c r="E178" t="s">
        <v>1310</v>
      </c>
      <c r="F178" t="s">
        <v>19</v>
      </c>
      <c r="G178" s="2">
        <v>46104</v>
      </c>
      <c r="H178" s="2">
        <v>46203</v>
      </c>
      <c r="I178" s="3">
        <v>187407865</v>
      </c>
      <c r="J178" t="s">
        <v>20</v>
      </c>
      <c r="K178" s="1">
        <v>46142</v>
      </c>
      <c r="L178" s="3">
        <v>191304075</v>
      </c>
      <c r="M178" s="3">
        <v>188884465.003308</v>
      </c>
      <c r="N178" s="3">
        <v>188884465.003308</v>
      </c>
      <c r="O178" s="6" t="s">
        <v>307</v>
      </c>
      <c r="P178" t="s">
        <v>201</v>
      </c>
      <c r="Q178" s="3">
        <v>61</v>
      </c>
      <c r="R178" s="5">
        <v>0.16944400000000001</v>
      </c>
      <c r="S178" s="6" t="s">
        <v>145</v>
      </c>
      <c r="T178" t="s">
        <v>21</v>
      </c>
    </row>
    <row r="179" spans="1:20" x14ac:dyDescent="0.25">
      <c r="A179" t="s">
        <v>32</v>
      </c>
      <c r="B179" t="s">
        <v>33</v>
      </c>
      <c r="C179" t="s">
        <v>34</v>
      </c>
      <c r="D179" t="s">
        <v>35</v>
      </c>
      <c r="E179" t="s">
        <v>1310</v>
      </c>
      <c r="F179" t="s">
        <v>19</v>
      </c>
      <c r="G179" s="2">
        <v>46104</v>
      </c>
      <c r="H179" s="2">
        <v>46203</v>
      </c>
      <c r="I179" s="3">
        <v>481870949</v>
      </c>
      <c r="J179" t="s">
        <v>20</v>
      </c>
      <c r="K179" s="1">
        <v>46142</v>
      </c>
      <c r="L179" s="3">
        <v>491889046</v>
      </c>
      <c r="M179" s="3">
        <v>485667643.48693198</v>
      </c>
      <c r="N179" s="3">
        <v>485667643.48693198</v>
      </c>
      <c r="O179" s="6" t="s">
        <v>307</v>
      </c>
      <c r="P179" t="s">
        <v>201</v>
      </c>
      <c r="Q179" s="3">
        <v>61</v>
      </c>
      <c r="R179" s="5">
        <v>0.16944400000000001</v>
      </c>
      <c r="S179" s="6" t="s">
        <v>145</v>
      </c>
      <c r="T179" t="s">
        <v>21</v>
      </c>
    </row>
    <row r="180" spans="1:20" x14ac:dyDescent="0.25">
      <c r="A180" t="s">
        <v>32</v>
      </c>
      <c r="B180" t="s">
        <v>33</v>
      </c>
      <c r="C180" t="s">
        <v>34</v>
      </c>
      <c r="D180" t="s">
        <v>35</v>
      </c>
      <c r="E180" t="s">
        <v>51</v>
      </c>
      <c r="F180" t="s">
        <v>52</v>
      </c>
      <c r="G180" s="2">
        <v>46080</v>
      </c>
      <c r="H180" s="2">
        <v>46171</v>
      </c>
      <c r="I180" s="3">
        <v>646126903</v>
      </c>
      <c r="J180" t="s">
        <v>53</v>
      </c>
      <c r="K180" s="1">
        <v>46142</v>
      </c>
      <c r="L180" s="3">
        <v>16453.9535</v>
      </c>
      <c r="M180" s="3">
        <v>16385.317227</v>
      </c>
      <c r="N180" s="3">
        <v>657382204.19977403</v>
      </c>
      <c r="O180" s="6" t="s">
        <v>166</v>
      </c>
      <c r="P180" t="s">
        <v>201</v>
      </c>
      <c r="Q180" s="3">
        <v>29</v>
      </c>
      <c r="R180" s="5">
        <v>8.0555000000000002E-2</v>
      </c>
      <c r="S180" s="6" t="s">
        <v>143</v>
      </c>
      <c r="T180" t="s">
        <v>21</v>
      </c>
    </row>
    <row r="181" spans="1:20" x14ac:dyDescent="0.25">
      <c r="A181" t="s">
        <v>54</v>
      </c>
      <c r="B181" t="s">
        <v>55</v>
      </c>
      <c r="C181" t="s">
        <v>55</v>
      </c>
      <c r="D181" t="s">
        <v>56</v>
      </c>
      <c r="E181" t="s">
        <v>1289</v>
      </c>
      <c r="F181" t="s">
        <v>19</v>
      </c>
      <c r="G181" s="2">
        <v>46105</v>
      </c>
      <c r="H181" s="2">
        <v>46204</v>
      </c>
      <c r="I181" s="3">
        <v>80474373</v>
      </c>
      <c r="J181" t="s">
        <v>20</v>
      </c>
      <c r="K181" s="1">
        <v>46142</v>
      </c>
      <c r="L181" s="3">
        <v>82147435</v>
      </c>
      <c r="M181" s="3">
        <v>81091622.080512002</v>
      </c>
      <c r="N181" s="3">
        <v>81091622.080512002</v>
      </c>
      <c r="O181" s="6" t="s">
        <v>312</v>
      </c>
      <c r="P181" t="s">
        <v>196</v>
      </c>
      <c r="Q181" s="3">
        <v>62</v>
      </c>
      <c r="R181" s="5">
        <v>0.17222199999999999</v>
      </c>
      <c r="S181" s="6" t="s">
        <v>145</v>
      </c>
      <c r="T181" t="s">
        <v>21</v>
      </c>
    </row>
    <row r="182" spans="1:20" x14ac:dyDescent="0.25">
      <c r="A182" t="s">
        <v>54</v>
      </c>
      <c r="B182" t="s">
        <v>55</v>
      </c>
      <c r="C182" t="s">
        <v>55</v>
      </c>
      <c r="D182" t="s">
        <v>56</v>
      </c>
      <c r="E182" t="s">
        <v>1330</v>
      </c>
      <c r="F182" t="s">
        <v>19</v>
      </c>
      <c r="G182" s="2">
        <v>46136</v>
      </c>
      <c r="H182" s="2">
        <v>46237</v>
      </c>
      <c r="I182" s="3">
        <v>6275961</v>
      </c>
      <c r="J182" t="s">
        <v>20</v>
      </c>
      <c r="K182" s="1">
        <v>46142</v>
      </c>
      <c r="L182" s="3">
        <v>6409074</v>
      </c>
      <c r="M182" s="3">
        <v>6283713.9075440001</v>
      </c>
      <c r="N182" s="3">
        <v>6283713.9075440001</v>
      </c>
      <c r="O182" s="6" t="s">
        <v>521</v>
      </c>
      <c r="P182" t="s">
        <v>196</v>
      </c>
      <c r="Q182" s="3">
        <v>95</v>
      </c>
      <c r="R182" s="5">
        <v>0.26388800000000001</v>
      </c>
      <c r="S182" s="6" t="s">
        <v>141</v>
      </c>
      <c r="T182" t="s">
        <v>21</v>
      </c>
    </row>
    <row r="183" spans="1:20" x14ac:dyDescent="0.25">
      <c r="A183" t="s">
        <v>54</v>
      </c>
      <c r="B183" t="s">
        <v>55</v>
      </c>
      <c r="C183" t="s">
        <v>55</v>
      </c>
      <c r="D183" t="s">
        <v>56</v>
      </c>
      <c r="E183" t="s">
        <v>1330</v>
      </c>
      <c r="F183" t="s">
        <v>19</v>
      </c>
      <c r="G183" s="2">
        <v>46136</v>
      </c>
      <c r="H183" s="2">
        <v>46237</v>
      </c>
      <c r="I183" s="3">
        <v>6255100</v>
      </c>
      <c r="J183" t="s">
        <v>20</v>
      </c>
      <c r="K183" s="1">
        <v>46142</v>
      </c>
      <c r="L183" s="3">
        <v>6387771</v>
      </c>
      <c r="M183" s="3">
        <v>6262827.5895880004</v>
      </c>
      <c r="N183" s="3">
        <v>6262827.5895880004</v>
      </c>
      <c r="O183" s="6" t="s">
        <v>521</v>
      </c>
      <c r="P183" t="s">
        <v>196</v>
      </c>
      <c r="Q183" s="3">
        <v>95</v>
      </c>
      <c r="R183" s="5">
        <v>0.26388800000000001</v>
      </c>
      <c r="S183" s="6" t="s">
        <v>141</v>
      </c>
      <c r="T183" t="s">
        <v>21</v>
      </c>
    </row>
    <row r="184" spans="1:20" x14ac:dyDescent="0.25">
      <c r="A184" t="s">
        <v>54</v>
      </c>
      <c r="B184" t="s">
        <v>55</v>
      </c>
      <c r="C184" t="s">
        <v>55</v>
      </c>
      <c r="D184" t="s">
        <v>56</v>
      </c>
      <c r="E184" t="s">
        <v>22</v>
      </c>
      <c r="F184" t="s">
        <v>19</v>
      </c>
      <c r="G184" s="2">
        <v>46043</v>
      </c>
      <c r="H184" s="2">
        <v>46146</v>
      </c>
      <c r="I184" s="3">
        <v>8044390</v>
      </c>
      <c r="J184" t="s">
        <v>20</v>
      </c>
      <c r="K184" s="1">
        <v>46142</v>
      </c>
      <c r="L184" s="3">
        <v>8148967</v>
      </c>
      <c r="M184" s="3">
        <v>8141910.6774129998</v>
      </c>
      <c r="N184" s="3">
        <v>8141910.6774129998</v>
      </c>
      <c r="O184" s="6"/>
      <c r="P184" t="s">
        <v>196</v>
      </c>
      <c r="Q184" s="3">
        <v>4</v>
      </c>
      <c r="R184" s="5">
        <v>1.1110999999999999E-2</v>
      </c>
      <c r="S184" s="6" t="s">
        <v>143</v>
      </c>
      <c r="T184" t="s">
        <v>21</v>
      </c>
    </row>
    <row r="185" spans="1:20" x14ac:dyDescent="0.25">
      <c r="A185" t="s">
        <v>54</v>
      </c>
      <c r="B185" t="s">
        <v>55</v>
      </c>
      <c r="C185" t="s">
        <v>55</v>
      </c>
      <c r="D185" t="s">
        <v>56</v>
      </c>
      <c r="E185" t="s">
        <v>1331</v>
      </c>
      <c r="F185" t="s">
        <v>19</v>
      </c>
      <c r="G185" s="2">
        <v>46140</v>
      </c>
      <c r="H185" s="2">
        <v>46239</v>
      </c>
      <c r="I185" s="3">
        <v>64925258</v>
      </c>
      <c r="J185" t="s">
        <v>20</v>
      </c>
      <c r="K185" s="1">
        <v>46142</v>
      </c>
      <c r="L185" s="3">
        <v>66275054</v>
      </c>
      <c r="M185" s="3">
        <v>64951982.124131002</v>
      </c>
      <c r="N185" s="3">
        <v>64951982.124131002</v>
      </c>
      <c r="O185" s="6" t="s">
        <v>248</v>
      </c>
      <c r="P185" t="s">
        <v>196</v>
      </c>
      <c r="Q185" s="3">
        <v>97</v>
      </c>
      <c r="R185" s="5">
        <v>0.26944400000000002</v>
      </c>
      <c r="S185" s="6" t="s">
        <v>141</v>
      </c>
      <c r="T185" t="s">
        <v>21</v>
      </c>
    </row>
    <row r="186" spans="1:20" x14ac:dyDescent="0.25">
      <c r="A186" t="s">
        <v>54</v>
      </c>
      <c r="B186" t="s">
        <v>55</v>
      </c>
      <c r="C186" t="s">
        <v>55</v>
      </c>
      <c r="D186" t="s">
        <v>56</v>
      </c>
      <c r="E186" t="s">
        <v>26</v>
      </c>
      <c r="F186" t="s">
        <v>19</v>
      </c>
      <c r="G186" s="2">
        <v>46052</v>
      </c>
      <c r="H186" s="2">
        <v>46157</v>
      </c>
      <c r="I186" s="3">
        <v>8474575</v>
      </c>
      <c r="J186" t="s">
        <v>20</v>
      </c>
      <c r="K186" s="1">
        <v>46142</v>
      </c>
      <c r="L186" s="3">
        <v>8604942</v>
      </c>
      <c r="M186" s="3">
        <v>8577066.5337649994</v>
      </c>
      <c r="N186" s="3">
        <v>8577066.5337649994</v>
      </c>
      <c r="O186" s="6" t="s">
        <v>521</v>
      </c>
      <c r="P186" t="s">
        <v>196</v>
      </c>
      <c r="Q186" s="3">
        <v>15</v>
      </c>
      <c r="R186" s="5">
        <v>4.1666000000000002E-2</v>
      </c>
      <c r="S186" s="6" t="s">
        <v>143</v>
      </c>
      <c r="T186" t="s">
        <v>21</v>
      </c>
    </row>
    <row r="187" spans="1:20" x14ac:dyDescent="0.25">
      <c r="A187" t="s">
        <v>54</v>
      </c>
      <c r="B187" t="s">
        <v>55</v>
      </c>
      <c r="C187" t="s">
        <v>55</v>
      </c>
      <c r="D187" t="s">
        <v>56</v>
      </c>
      <c r="E187" t="s">
        <v>1332</v>
      </c>
      <c r="F187" t="s">
        <v>19</v>
      </c>
      <c r="G187" s="2">
        <v>46125</v>
      </c>
      <c r="H187" s="2">
        <v>46224</v>
      </c>
      <c r="I187" s="3">
        <v>59425061</v>
      </c>
      <c r="J187" t="s">
        <v>20</v>
      </c>
      <c r="K187" s="1">
        <v>46142</v>
      </c>
      <c r="L187" s="3">
        <v>60660508</v>
      </c>
      <c r="M187" s="3">
        <v>59633617.113309003</v>
      </c>
      <c r="N187" s="3">
        <v>59633617.113309003</v>
      </c>
      <c r="O187" s="6" t="s">
        <v>373</v>
      </c>
      <c r="P187" t="s">
        <v>196</v>
      </c>
      <c r="Q187" s="3">
        <v>82</v>
      </c>
      <c r="R187" s="5">
        <v>0.22777700000000001</v>
      </c>
      <c r="S187" s="6" t="s">
        <v>145</v>
      </c>
      <c r="T187" t="s">
        <v>21</v>
      </c>
    </row>
    <row r="188" spans="1:20" x14ac:dyDescent="0.25">
      <c r="A188" t="s">
        <v>54</v>
      </c>
      <c r="B188" t="s">
        <v>55</v>
      </c>
      <c r="C188" t="s">
        <v>55</v>
      </c>
      <c r="D188" t="s">
        <v>56</v>
      </c>
      <c r="E188" t="s">
        <v>1343</v>
      </c>
      <c r="F188" t="s">
        <v>19</v>
      </c>
      <c r="G188" s="2">
        <v>46126</v>
      </c>
      <c r="H188" s="2">
        <v>46225</v>
      </c>
      <c r="I188" s="3">
        <v>11254577</v>
      </c>
      <c r="J188" t="s">
        <v>20</v>
      </c>
      <c r="K188" s="1">
        <v>46142</v>
      </c>
      <c r="L188" s="3">
        <v>11488560</v>
      </c>
      <c r="M188" s="3">
        <v>11291744.886626</v>
      </c>
      <c r="N188" s="3">
        <v>11291744.886626</v>
      </c>
      <c r="O188" s="6" t="s">
        <v>521</v>
      </c>
      <c r="P188" t="s">
        <v>196</v>
      </c>
      <c r="Q188" s="3">
        <v>83</v>
      </c>
      <c r="R188" s="5">
        <v>0.23055500000000001</v>
      </c>
      <c r="S188" s="6" t="s">
        <v>145</v>
      </c>
      <c r="T188" t="s">
        <v>21</v>
      </c>
    </row>
    <row r="189" spans="1:20" x14ac:dyDescent="0.25">
      <c r="A189" t="s">
        <v>54</v>
      </c>
      <c r="B189" t="s">
        <v>55</v>
      </c>
      <c r="C189" t="s">
        <v>55</v>
      </c>
      <c r="D189" t="s">
        <v>56</v>
      </c>
      <c r="E189" t="s">
        <v>40</v>
      </c>
      <c r="F189" t="s">
        <v>19</v>
      </c>
      <c r="G189" s="2">
        <v>46063</v>
      </c>
      <c r="H189" s="2">
        <v>46168</v>
      </c>
      <c r="I189" s="3">
        <v>2505940</v>
      </c>
      <c r="J189" t="s">
        <v>20</v>
      </c>
      <c r="K189" s="1">
        <v>46142</v>
      </c>
      <c r="L189" s="3">
        <v>2550462</v>
      </c>
      <c r="M189" s="3">
        <v>2536174.8815009999</v>
      </c>
      <c r="N189" s="3">
        <v>2536174.8815009999</v>
      </c>
      <c r="O189" s="6" t="s">
        <v>142</v>
      </c>
      <c r="P189" t="s">
        <v>196</v>
      </c>
      <c r="Q189" s="3">
        <v>26</v>
      </c>
      <c r="R189" s="5">
        <v>7.2221999999999995E-2</v>
      </c>
      <c r="S189" s="6" t="s">
        <v>143</v>
      </c>
      <c r="T189" t="s">
        <v>21</v>
      </c>
    </row>
    <row r="190" spans="1:20" x14ac:dyDescent="0.25">
      <c r="A190" t="s">
        <v>54</v>
      </c>
      <c r="B190" t="s">
        <v>55</v>
      </c>
      <c r="C190" t="s">
        <v>55</v>
      </c>
      <c r="D190" t="s">
        <v>56</v>
      </c>
      <c r="E190" t="s">
        <v>1353</v>
      </c>
      <c r="F190" t="s">
        <v>19</v>
      </c>
      <c r="G190" s="2">
        <v>46142</v>
      </c>
      <c r="H190" s="2">
        <v>46246</v>
      </c>
      <c r="I190" s="3">
        <v>266809660</v>
      </c>
      <c r="J190" t="s">
        <v>20</v>
      </c>
      <c r="K190" s="1">
        <v>46142</v>
      </c>
      <c r="L190" s="3">
        <v>272636783</v>
      </c>
      <c r="M190" s="3">
        <v>266809660.02505299</v>
      </c>
      <c r="N190" s="3">
        <v>266809660.02505299</v>
      </c>
      <c r="O190" s="6" t="s">
        <v>1274</v>
      </c>
      <c r="P190" t="s">
        <v>201</v>
      </c>
      <c r="Q190" s="3">
        <v>104</v>
      </c>
      <c r="R190" s="5">
        <v>0.28888799999999998</v>
      </c>
      <c r="S190" s="6" t="s">
        <v>141</v>
      </c>
      <c r="T190" t="s">
        <v>21</v>
      </c>
    </row>
    <row r="191" spans="1:20" x14ac:dyDescent="0.25">
      <c r="A191" t="s">
        <v>54</v>
      </c>
      <c r="B191" t="s">
        <v>55</v>
      </c>
      <c r="C191" t="s">
        <v>55</v>
      </c>
      <c r="D191" t="s">
        <v>56</v>
      </c>
      <c r="E191" t="s">
        <v>57</v>
      </c>
      <c r="F191" t="s">
        <v>19</v>
      </c>
      <c r="G191" s="2">
        <v>46052</v>
      </c>
      <c r="H191" s="2">
        <v>46157</v>
      </c>
      <c r="I191" s="3">
        <v>564547131</v>
      </c>
      <c r="J191" t="s">
        <v>20</v>
      </c>
      <c r="K191" s="1">
        <v>46142</v>
      </c>
      <c r="L191" s="3">
        <v>573231748</v>
      </c>
      <c r="M191" s="3">
        <v>571374779.96511304</v>
      </c>
      <c r="N191" s="3">
        <v>571374779.96511304</v>
      </c>
      <c r="O191" s="6" t="s">
        <v>167</v>
      </c>
      <c r="P191" t="s">
        <v>201</v>
      </c>
      <c r="Q191" s="3">
        <v>15</v>
      </c>
      <c r="R191" s="5">
        <v>4.1666000000000002E-2</v>
      </c>
      <c r="S191" s="6" t="s">
        <v>143</v>
      </c>
      <c r="T191" t="s">
        <v>21</v>
      </c>
    </row>
    <row r="192" spans="1:20" x14ac:dyDescent="0.25">
      <c r="A192" t="s">
        <v>54</v>
      </c>
      <c r="B192" t="s">
        <v>55</v>
      </c>
      <c r="C192" t="s">
        <v>55</v>
      </c>
      <c r="D192" t="s">
        <v>56</v>
      </c>
      <c r="E192" t="s">
        <v>1306</v>
      </c>
      <c r="F192" t="s">
        <v>19</v>
      </c>
      <c r="G192" s="2">
        <v>46091</v>
      </c>
      <c r="H192" s="2">
        <v>46189</v>
      </c>
      <c r="I192" s="3">
        <v>10135494</v>
      </c>
      <c r="J192" t="s">
        <v>20</v>
      </c>
      <c r="K192" s="1">
        <v>46142</v>
      </c>
      <c r="L192" s="3">
        <v>10350704</v>
      </c>
      <c r="M192" s="3">
        <v>10246361.881507</v>
      </c>
      <c r="N192" s="3">
        <v>10246361.881507</v>
      </c>
      <c r="O192" s="6"/>
      <c r="P192" t="s">
        <v>196</v>
      </c>
      <c r="Q192" s="3">
        <v>47</v>
      </c>
      <c r="R192" s="5">
        <v>0.130555</v>
      </c>
      <c r="S192" s="6" t="s">
        <v>145</v>
      </c>
      <c r="T192" t="s">
        <v>21</v>
      </c>
    </row>
    <row r="193" spans="1:20" x14ac:dyDescent="0.25">
      <c r="A193" t="s">
        <v>54</v>
      </c>
      <c r="B193" t="s">
        <v>55</v>
      </c>
      <c r="C193" t="s">
        <v>55</v>
      </c>
      <c r="D193" t="s">
        <v>56</v>
      </c>
      <c r="E193" t="s">
        <v>49</v>
      </c>
      <c r="F193" t="s">
        <v>19</v>
      </c>
      <c r="G193" s="2">
        <v>46052</v>
      </c>
      <c r="H193" s="2">
        <v>46160</v>
      </c>
      <c r="I193" s="3">
        <v>359081250</v>
      </c>
      <c r="J193" t="s">
        <v>20</v>
      </c>
      <c r="K193" s="1">
        <v>46142</v>
      </c>
      <c r="L193" s="3">
        <v>364838519</v>
      </c>
      <c r="M193" s="3">
        <v>363421176.41199303</v>
      </c>
      <c r="N193" s="3">
        <v>363421176.41199303</v>
      </c>
      <c r="O193" s="6" t="s">
        <v>1355</v>
      </c>
      <c r="P193" t="s">
        <v>1349</v>
      </c>
      <c r="Q193" s="3">
        <v>18</v>
      </c>
      <c r="R193" s="5">
        <v>0.05</v>
      </c>
      <c r="S193" s="6" t="s">
        <v>143</v>
      </c>
      <c r="T193" t="s">
        <v>21</v>
      </c>
    </row>
    <row r="194" spans="1:20" x14ac:dyDescent="0.25">
      <c r="A194" t="s">
        <v>15</v>
      </c>
      <c r="B194" t="s">
        <v>58</v>
      </c>
      <c r="C194" t="s">
        <v>59</v>
      </c>
      <c r="D194" t="s">
        <v>60</v>
      </c>
      <c r="E194" t="s">
        <v>30</v>
      </c>
      <c r="F194" t="s">
        <v>19</v>
      </c>
      <c r="G194" s="2">
        <v>46076</v>
      </c>
      <c r="H194" s="2">
        <v>46174</v>
      </c>
      <c r="I194" s="3">
        <v>121292272</v>
      </c>
      <c r="J194" t="s">
        <v>20</v>
      </c>
      <c r="K194" s="1">
        <v>46142</v>
      </c>
      <c r="L194" s="3">
        <v>123355454</v>
      </c>
      <c r="M194" s="3">
        <v>122532038.699936</v>
      </c>
      <c r="N194" s="3">
        <v>122532038.699936</v>
      </c>
      <c r="O194" s="6" t="s">
        <v>452</v>
      </c>
      <c r="P194" t="s">
        <v>196</v>
      </c>
      <c r="Q194" s="3">
        <v>32</v>
      </c>
      <c r="R194" s="5">
        <v>8.8887999999999995E-2</v>
      </c>
      <c r="S194" s="6" t="s">
        <v>145</v>
      </c>
      <c r="T194" t="s">
        <v>21</v>
      </c>
    </row>
    <row r="195" spans="1:20" x14ac:dyDescent="0.25">
      <c r="A195" t="s">
        <v>15</v>
      </c>
      <c r="B195" t="s">
        <v>58</v>
      </c>
      <c r="C195" t="s">
        <v>59</v>
      </c>
      <c r="D195" t="s">
        <v>60</v>
      </c>
      <c r="E195" t="s">
        <v>30</v>
      </c>
      <c r="F195" t="s">
        <v>19</v>
      </c>
      <c r="G195" s="2">
        <v>46076</v>
      </c>
      <c r="H195" s="2">
        <v>46174</v>
      </c>
      <c r="I195" s="3">
        <v>5310480</v>
      </c>
      <c r="J195" t="s">
        <v>20</v>
      </c>
      <c r="K195" s="1">
        <v>46142</v>
      </c>
      <c r="L195" s="3">
        <v>5352858</v>
      </c>
      <c r="M195" s="3">
        <v>5317126.9071840001</v>
      </c>
      <c r="N195" s="3">
        <v>5317126.9071840001</v>
      </c>
      <c r="O195" s="6" t="s">
        <v>452</v>
      </c>
      <c r="P195" t="s">
        <v>196</v>
      </c>
      <c r="Q195" s="3">
        <v>32</v>
      </c>
      <c r="R195" s="5">
        <v>8.8887999999999995E-2</v>
      </c>
      <c r="S195" s="6" t="s">
        <v>145</v>
      </c>
      <c r="T195" t="s">
        <v>21</v>
      </c>
    </row>
    <row r="196" spans="1:20" x14ac:dyDescent="0.25">
      <c r="A196" t="s">
        <v>15</v>
      </c>
      <c r="B196" t="s">
        <v>58</v>
      </c>
      <c r="C196" t="s">
        <v>59</v>
      </c>
      <c r="D196" t="s">
        <v>60</v>
      </c>
      <c r="E196" t="s">
        <v>1289</v>
      </c>
      <c r="F196" t="s">
        <v>19</v>
      </c>
      <c r="G196" s="2">
        <v>46105</v>
      </c>
      <c r="H196" s="2">
        <v>46204</v>
      </c>
      <c r="I196" s="3">
        <v>33696893</v>
      </c>
      <c r="J196" t="s">
        <v>20</v>
      </c>
      <c r="K196" s="1">
        <v>46142</v>
      </c>
      <c r="L196" s="3">
        <v>34397451</v>
      </c>
      <c r="M196" s="3">
        <v>33955352.312886</v>
      </c>
      <c r="N196" s="3">
        <v>33955352.312886</v>
      </c>
      <c r="O196" s="6" t="s">
        <v>312</v>
      </c>
      <c r="P196" t="s">
        <v>196</v>
      </c>
      <c r="Q196" s="3">
        <v>62</v>
      </c>
      <c r="R196" s="5">
        <v>0.17222199999999999</v>
      </c>
      <c r="S196" s="6" t="s">
        <v>145</v>
      </c>
      <c r="T196" t="s">
        <v>21</v>
      </c>
    </row>
    <row r="197" spans="1:20" x14ac:dyDescent="0.25">
      <c r="A197" t="s">
        <v>15</v>
      </c>
      <c r="B197" t="s">
        <v>58</v>
      </c>
      <c r="C197" t="s">
        <v>59</v>
      </c>
      <c r="D197" t="s">
        <v>60</v>
      </c>
      <c r="E197" t="s">
        <v>31</v>
      </c>
      <c r="F197" t="s">
        <v>19</v>
      </c>
      <c r="G197" s="2">
        <v>46077</v>
      </c>
      <c r="H197" s="2">
        <v>46175</v>
      </c>
      <c r="I197" s="3">
        <v>62001364</v>
      </c>
      <c r="J197" t="s">
        <v>20</v>
      </c>
      <c r="K197" s="1">
        <v>46142</v>
      </c>
      <c r="L197" s="3">
        <v>63069027</v>
      </c>
      <c r="M197" s="3">
        <v>62634966.680900998</v>
      </c>
      <c r="N197" s="3">
        <v>62634966.680900998</v>
      </c>
      <c r="O197" s="6" t="s">
        <v>149</v>
      </c>
      <c r="P197" t="s">
        <v>201</v>
      </c>
      <c r="Q197" s="3">
        <v>33</v>
      </c>
      <c r="R197" s="5">
        <v>9.1665999999999997E-2</v>
      </c>
      <c r="S197" s="6" t="s">
        <v>145</v>
      </c>
      <c r="T197" t="s">
        <v>21</v>
      </c>
    </row>
    <row r="198" spans="1:20" x14ac:dyDescent="0.25">
      <c r="A198" t="s">
        <v>15</v>
      </c>
      <c r="B198" t="s">
        <v>58</v>
      </c>
      <c r="C198" t="s">
        <v>59</v>
      </c>
      <c r="D198" t="s">
        <v>60</v>
      </c>
      <c r="E198" t="s">
        <v>70</v>
      </c>
      <c r="F198" t="s">
        <v>19</v>
      </c>
      <c r="G198" s="2">
        <v>46079</v>
      </c>
      <c r="H198" s="2">
        <v>46176</v>
      </c>
      <c r="I198" s="3">
        <v>6189328</v>
      </c>
      <c r="J198" t="s">
        <v>20</v>
      </c>
      <c r="K198" s="1">
        <v>46142</v>
      </c>
      <c r="L198" s="3">
        <v>6241318</v>
      </c>
      <c r="M198" s="3">
        <v>6197070.9136760002</v>
      </c>
      <c r="N198" s="3">
        <v>6197070.9136760002</v>
      </c>
      <c r="O198" s="6" t="s">
        <v>452</v>
      </c>
      <c r="P198" t="s">
        <v>196</v>
      </c>
      <c r="Q198" s="3">
        <v>34</v>
      </c>
      <c r="R198" s="5">
        <v>9.4444E-2</v>
      </c>
      <c r="S198" s="6" t="s">
        <v>145</v>
      </c>
      <c r="T198" t="s">
        <v>21</v>
      </c>
    </row>
    <row r="199" spans="1:20" x14ac:dyDescent="0.25">
      <c r="A199" t="s">
        <v>15</v>
      </c>
      <c r="B199" t="s">
        <v>58</v>
      </c>
      <c r="C199" t="s">
        <v>59</v>
      </c>
      <c r="D199" t="s">
        <v>60</v>
      </c>
      <c r="E199" t="s">
        <v>22</v>
      </c>
      <c r="F199" t="s">
        <v>19</v>
      </c>
      <c r="G199" s="2">
        <v>46043</v>
      </c>
      <c r="H199" s="2">
        <v>46146</v>
      </c>
      <c r="I199" s="3">
        <v>125535764</v>
      </c>
      <c r="J199" t="s">
        <v>20</v>
      </c>
      <c r="K199" s="1">
        <v>46142</v>
      </c>
      <c r="L199" s="3">
        <v>126932977</v>
      </c>
      <c r="M199" s="3">
        <v>126826442.788058</v>
      </c>
      <c r="N199" s="3">
        <v>126826442.788058</v>
      </c>
      <c r="O199" s="6"/>
      <c r="P199" t="s">
        <v>196</v>
      </c>
      <c r="Q199" s="3">
        <v>4</v>
      </c>
      <c r="R199" s="5">
        <v>1.1110999999999999E-2</v>
      </c>
      <c r="S199" s="6" t="s">
        <v>143</v>
      </c>
      <c r="T199" t="s">
        <v>21</v>
      </c>
    </row>
    <row r="200" spans="1:20" x14ac:dyDescent="0.25">
      <c r="A200" t="s">
        <v>15</v>
      </c>
      <c r="B200" t="s">
        <v>58</v>
      </c>
      <c r="C200" t="s">
        <v>59</v>
      </c>
      <c r="D200" t="s">
        <v>60</v>
      </c>
      <c r="E200" t="s">
        <v>22</v>
      </c>
      <c r="F200" t="s">
        <v>19</v>
      </c>
      <c r="G200" s="2">
        <v>46043</v>
      </c>
      <c r="H200" s="2">
        <v>46146</v>
      </c>
      <c r="I200" s="3">
        <v>160142742</v>
      </c>
      <c r="J200" t="s">
        <v>20</v>
      </c>
      <c r="K200" s="1">
        <v>46142</v>
      </c>
      <c r="L200" s="3">
        <v>161925131</v>
      </c>
      <c r="M200" s="3">
        <v>161789228.048439</v>
      </c>
      <c r="N200" s="3">
        <v>161789228.048439</v>
      </c>
      <c r="O200" s="6"/>
      <c r="P200" t="s">
        <v>196</v>
      </c>
      <c r="Q200" s="3">
        <v>4</v>
      </c>
      <c r="R200" s="5">
        <v>1.1110999999999999E-2</v>
      </c>
      <c r="S200" s="6" t="s">
        <v>143</v>
      </c>
      <c r="T200" t="s">
        <v>21</v>
      </c>
    </row>
    <row r="201" spans="1:20" x14ac:dyDescent="0.25">
      <c r="A201" t="s">
        <v>15</v>
      </c>
      <c r="B201" t="s">
        <v>58</v>
      </c>
      <c r="C201" t="s">
        <v>59</v>
      </c>
      <c r="D201" t="s">
        <v>60</v>
      </c>
      <c r="E201" t="s">
        <v>1337</v>
      </c>
      <c r="F201" t="s">
        <v>19</v>
      </c>
      <c r="G201" s="2">
        <v>46139</v>
      </c>
      <c r="H201" s="2">
        <v>46238</v>
      </c>
      <c r="I201" s="3">
        <v>217462545</v>
      </c>
      <c r="J201" t="s">
        <v>20</v>
      </c>
      <c r="K201" s="1">
        <v>46142</v>
      </c>
      <c r="L201" s="3">
        <v>221983591</v>
      </c>
      <c r="M201" s="3">
        <v>217596838.731179</v>
      </c>
      <c r="N201" s="3">
        <v>217596838.731179</v>
      </c>
      <c r="O201" s="6" t="s">
        <v>140</v>
      </c>
      <c r="P201" t="s">
        <v>201</v>
      </c>
      <c r="Q201" s="3">
        <v>96</v>
      </c>
      <c r="R201" s="5">
        <v>0.26666600000000001</v>
      </c>
      <c r="S201" s="6" t="s">
        <v>141</v>
      </c>
      <c r="T201" t="s">
        <v>21</v>
      </c>
    </row>
    <row r="202" spans="1:20" x14ac:dyDescent="0.25">
      <c r="A202" t="s">
        <v>15</v>
      </c>
      <c r="B202" t="s">
        <v>58</v>
      </c>
      <c r="C202" t="s">
        <v>59</v>
      </c>
      <c r="D202" t="s">
        <v>60</v>
      </c>
      <c r="E202" t="s">
        <v>1293</v>
      </c>
      <c r="F202" t="s">
        <v>19</v>
      </c>
      <c r="G202" s="2">
        <v>46108</v>
      </c>
      <c r="H202" s="2">
        <v>46209</v>
      </c>
      <c r="I202" s="3">
        <v>129664384</v>
      </c>
      <c r="J202" t="s">
        <v>20</v>
      </c>
      <c r="K202" s="1">
        <v>46142</v>
      </c>
      <c r="L202" s="3">
        <v>131842746</v>
      </c>
      <c r="M202" s="3">
        <v>130013456.664727</v>
      </c>
      <c r="N202" s="3">
        <v>130013456.664727</v>
      </c>
      <c r="O202" s="6" t="s">
        <v>521</v>
      </c>
      <c r="P202" t="s">
        <v>196</v>
      </c>
      <c r="Q202" s="3">
        <v>67</v>
      </c>
      <c r="R202" s="5">
        <v>0.186111</v>
      </c>
      <c r="S202" s="6" t="s">
        <v>145</v>
      </c>
      <c r="T202" t="s">
        <v>21</v>
      </c>
    </row>
    <row r="203" spans="1:20" x14ac:dyDescent="0.25">
      <c r="A203" t="s">
        <v>15</v>
      </c>
      <c r="B203" t="s">
        <v>58</v>
      </c>
      <c r="C203" t="s">
        <v>59</v>
      </c>
      <c r="D203" t="s">
        <v>60</v>
      </c>
      <c r="E203" t="s">
        <v>1293</v>
      </c>
      <c r="F203" t="s">
        <v>19</v>
      </c>
      <c r="G203" s="2">
        <v>46108</v>
      </c>
      <c r="H203" s="2">
        <v>46209</v>
      </c>
      <c r="I203" s="3">
        <v>2530958</v>
      </c>
      <c r="J203" t="s">
        <v>20</v>
      </c>
      <c r="K203" s="1">
        <v>46142</v>
      </c>
      <c r="L203" s="3">
        <v>2584640</v>
      </c>
      <c r="M203" s="3">
        <v>2548778.683917</v>
      </c>
      <c r="N203" s="3">
        <v>2548778.683917</v>
      </c>
      <c r="O203" s="6" t="s">
        <v>521</v>
      </c>
      <c r="P203" t="s">
        <v>196</v>
      </c>
      <c r="Q203" s="3">
        <v>67</v>
      </c>
      <c r="R203" s="5">
        <v>0.186111</v>
      </c>
      <c r="S203" s="6" t="s">
        <v>145</v>
      </c>
      <c r="T203" t="s">
        <v>21</v>
      </c>
    </row>
    <row r="204" spans="1:20" x14ac:dyDescent="0.25">
      <c r="A204" t="s">
        <v>15</v>
      </c>
      <c r="B204" t="s">
        <v>58</v>
      </c>
      <c r="C204" t="s">
        <v>59</v>
      </c>
      <c r="D204" t="s">
        <v>60</v>
      </c>
      <c r="E204" t="s">
        <v>1338</v>
      </c>
      <c r="F204" t="s">
        <v>19</v>
      </c>
      <c r="G204" s="2">
        <v>46140</v>
      </c>
      <c r="H204" s="2">
        <v>46240</v>
      </c>
      <c r="I204" s="3">
        <v>101135772</v>
      </c>
      <c r="J204" t="s">
        <v>20</v>
      </c>
      <c r="K204" s="1">
        <v>46142</v>
      </c>
      <c r="L204" s="3">
        <v>103259623</v>
      </c>
      <c r="M204" s="3">
        <v>101177392.267142</v>
      </c>
      <c r="N204" s="3">
        <v>101177392.267142</v>
      </c>
      <c r="O204" s="6" t="s">
        <v>1271</v>
      </c>
      <c r="P204" t="s">
        <v>196</v>
      </c>
      <c r="Q204" s="3">
        <v>98</v>
      </c>
      <c r="R204" s="5">
        <v>0.27222200000000002</v>
      </c>
      <c r="S204" s="6" t="s">
        <v>141</v>
      </c>
      <c r="T204" t="s">
        <v>21</v>
      </c>
    </row>
    <row r="205" spans="1:20" x14ac:dyDescent="0.25">
      <c r="A205" t="s">
        <v>15</v>
      </c>
      <c r="B205" t="s">
        <v>58</v>
      </c>
      <c r="C205" t="s">
        <v>59</v>
      </c>
      <c r="D205" t="s">
        <v>60</v>
      </c>
      <c r="E205" t="s">
        <v>1338</v>
      </c>
      <c r="F205" t="s">
        <v>19</v>
      </c>
      <c r="G205" s="2">
        <v>46140</v>
      </c>
      <c r="H205" s="2">
        <v>46240</v>
      </c>
      <c r="I205" s="3">
        <v>4124286</v>
      </c>
      <c r="J205" t="s">
        <v>20</v>
      </c>
      <c r="K205" s="1">
        <v>46142</v>
      </c>
      <c r="L205" s="3">
        <v>4210896</v>
      </c>
      <c r="M205" s="3">
        <v>4125983.2644179999</v>
      </c>
      <c r="N205" s="3">
        <v>4125983.2644179999</v>
      </c>
      <c r="O205" s="6" t="s">
        <v>1271</v>
      </c>
      <c r="P205" t="s">
        <v>196</v>
      </c>
      <c r="Q205" s="3">
        <v>98</v>
      </c>
      <c r="R205" s="5">
        <v>0.27222200000000002</v>
      </c>
      <c r="S205" s="6" t="s">
        <v>141</v>
      </c>
      <c r="T205" t="s">
        <v>21</v>
      </c>
    </row>
    <row r="206" spans="1:20" x14ac:dyDescent="0.25">
      <c r="A206" t="s">
        <v>15</v>
      </c>
      <c r="B206" t="s">
        <v>58</v>
      </c>
      <c r="C206" t="s">
        <v>59</v>
      </c>
      <c r="D206" t="s">
        <v>60</v>
      </c>
      <c r="E206" t="s">
        <v>23</v>
      </c>
      <c r="F206" t="s">
        <v>19</v>
      </c>
      <c r="G206" s="2">
        <v>46049</v>
      </c>
      <c r="H206" s="2">
        <v>46149</v>
      </c>
      <c r="I206" s="3">
        <v>61986014</v>
      </c>
      <c r="J206" t="s">
        <v>20</v>
      </c>
      <c r="K206" s="1">
        <v>46142</v>
      </c>
      <c r="L206" s="3">
        <v>62714970</v>
      </c>
      <c r="M206" s="3">
        <v>62622914.315955997</v>
      </c>
      <c r="N206" s="3">
        <v>62622914.315955997</v>
      </c>
      <c r="O206" s="6" t="s">
        <v>521</v>
      </c>
      <c r="P206" t="s">
        <v>196</v>
      </c>
      <c r="Q206" s="3">
        <v>7</v>
      </c>
      <c r="R206" s="5">
        <v>1.9443999999999999E-2</v>
      </c>
      <c r="S206" s="6" t="s">
        <v>143</v>
      </c>
      <c r="T206" t="s">
        <v>21</v>
      </c>
    </row>
    <row r="207" spans="1:20" x14ac:dyDescent="0.25">
      <c r="A207" t="s">
        <v>15</v>
      </c>
      <c r="B207" t="s">
        <v>58</v>
      </c>
      <c r="C207" t="s">
        <v>59</v>
      </c>
      <c r="D207" t="s">
        <v>60</v>
      </c>
      <c r="E207" t="s">
        <v>23</v>
      </c>
      <c r="F207" t="s">
        <v>19</v>
      </c>
      <c r="G207" s="2">
        <v>46049</v>
      </c>
      <c r="H207" s="2">
        <v>46149</v>
      </c>
      <c r="I207" s="3">
        <v>6260839</v>
      </c>
      <c r="J207" t="s">
        <v>20</v>
      </c>
      <c r="K207" s="1">
        <v>46142</v>
      </c>
      <c r="L207" s="3">
        <v>6334466</v>
      </c>
      <c r="M207" s="3">
        <v>6325168.0030359998</v>
      </c>
      <c r="N207" s="3">
        <v>6325168.0030359998</v>
      </c>
      <c r="O207" s="6" t="s">
        <v>521</v>
      </c>
      <c r="P207" t="s">
        <v>196</v>
      </c>
      <c r="Q207" s="3">
        <v>7</v>
      </c>
      <c r="R207" s="5">
        <v>1.9443999999999999E-2</v>
      </c>
      <c r="S207" s="6" t="s">
        <v>143</v>
      </c>
      <c r="T207" t="s">
        <v>21</v>
      </c>
    </row>
    <row r="208" spans="1:20" x14ac:dyDescent="0.25">
      <c r="A208" t="s">
        <v>15</v>
      </c>
      <c r="B208" t="s">
        <v>58</v>
      </c>
      <c r="C208" t="s">
        <v>59</v>
      </c>
      <c r="D208" t="s">
        <v>60</v>
      </c>
      <c r="E208" t="s">
        <v>1294</v>
      </c>
      <c r="F208" t="s">
        <v>19</v>
      </c>
      <c r="G208" s="2">
        <v>46111</v>
      </c>
      <c r="H208" s="2">
        <v>46210</v>
      </c>
      <c r="I208" s="3">
        <v>38154099</v>
      </c>
      <c r="J208" t="s">
        <v>20</v>
      </c>
      <c r="K208" s="1">
        <v>46142</v>
      </c>
      <c r="L208" s="3">
        <v>38947323</v>
      </c>
      <c r="M208" s="3">
        <v>38398985.487241998</v>
      </c>
      <c r="N208" s="3">
        <v>38398985.487241998</v>
      </c>
      <c r="O208" s="6" t="s">
        <v>325</v>
      </c>
      <c r="P208" t="s">
        <v>196</v>
      </c>
      <c r="Q208" s="3">
        <v>68</v>
      </c>
      <c r="R208" s="5">
        <v>0.188888</v>
      </c>
      <c r="S208" s="6" t="s">
        <v>145</v>
      </c>
      <c r="T208" t="s">
        <v>21</v>
      </c>
    </row>
    <row r="209" spans="1:20" x14ac:dyDescent="0.25">
      <c r="A209" t="s">
        <v>15</v>
      </c>
      <c r="B209" t="s">
        <v>58</v>
      </c>
      <c r="C209" t="s">
        <v>59</v>
      </c>
      <c r="D209" t="s">
        <v>60</v>
      </c>
      <c r="E209" t="s">
        <v>61</v>
      </c>
      <c r="F209" t="s">
        <v>19</v>
      </c>
      <c r="G209" s="2">
        <v>46049</v>
      </c>
      <c r="H209" s="2">
        <v>46150</v>
      </c>
      <c r="I209" s="3">
        <v>52153703</v>
      </c>
      <c r="J209" t="s">
        <v>20</v>
      </c>
      <c r="K209" s="1">
        <v>46142</v>
      </c>
      <c r="L209" s="3">
        <v>52777983</v>
      </c>
      <c r="M209" s="3">
        <v>52689464.699304998</v>
      </c>
      <c r="N209" s="3">
        <v>52689464.699304998</v>
      </c>
      <c r="O209" s="6" t="s">
        <v>521</v>
      </c>
      <c r="P209" t="s">
        <v>196</v>
      </c>
      <c r="Q209" s="3">
        <v>8</v>
      </c>
      <c r="R209" s="5">
        <v>2.2221999999999999E-2</v>
      </c>
      <c r="S209" s="6" t="s">
        <v>143</v>
      </c>
      <c r="T209" t="s">
        <v>21</v>
      </c>
    </row>
    <row r="210" spans="1:20" x14ac:dyDescent="0.25">
      <c r="A210" t="s">
        <v>15</v>
      </c>
      <c r="B210" t="s">
        <v>58</v>
      </c>
      <c r="C210" t="s">
        <v>59</v>
      </c>
      <c r="D210" t="s">
        <v>60</v>
      </c>
      <c r="E210" t="s">
        <v>1295</v>
      </c>
      <c r="F210" t="s">
        <v>19</v>
      </c>
      <c r="G210" s="2">
        <v>46085</v>
      </c>
      <c r="H210" s="2">
        <v>46181</v>
      </c>
      <c r="I210" s="3">
        <v>7227897</v>
      </c>
      <c r="J210" t="s">
        <v>20</v>
      </c>
      <c r="K210" s="1">
        <v>46142</v>
      </c>
      <c r="L210" s="3">
        <v>7296201</v>
      </c>
      <c r="M210" s="3">
        <v>7236930.5388869997</v>
      </c>
      <c r="N210" s="3">
        <v>7236930.5388869997</v>
      </c>
      <c r="O210" s="6" t="s">
        <v>278</v>
      </c>
      <c r="P210" t="s">
        <v>196</v>
      </c>
      <c r="Q210" s="3">
        <v>39</v>
      </c>
      <c r="R210" s="5">
        <v>0.108333</v>
      </c>
      <c r="S210" s="6" t="s">
        <v>145</v>
      </c>
      <c r="T210" t="s">
        <v>21</v>
      </c>
    </row>
    <row r="211" spans="1:20" x14ac:dyDescent="0.25">
      <c r="A211" t="s">
        <v>15</v>
      </c>
      <c r="B211" t="s">
        <v>58</v>
      </c>
      <c r="C211" t="s">
        <v>59</v>
      </c>
      <c r="D211" t="s">
        <v>60</v>
      </c>
      <c r="E211" t="s">
        <v>1358</v>
      </c>
      <c r="F211" t="s">
        <v>19</v>
      </c>
      <c r="G211" s="2">
        <v>46141</v>
      </c>
      <c r="H211" s="2">
        <v>46244</v>
      </c>
      <c r="I211" s="3">
        <v>9551380</v>
      </c>
      <c r="J211" t="s">
        <v>20</v>
      </c>
      <c r="K211" s="1">
        <v>46142</v>
      </c>
      <c r="L211" s="3">
        <v>9757976</v>
      </c>
      <c r="M211" s="3">
        <v>9553343.3847000003</v>
      </c>
      <c r="N211" s="3">
        <v>9553343.3847000003</v>
      </c>
      <c r="O211" s="6" t="s">
        <v>452</v>
      </c>
      <c r="P211" t="s">
        <v>196</v>
      </c>
      <c r="Q211" s="3">
        <v>102</v>
      </c>
      <c r="R211" s="5">
        <v>0.283333</v>
      </c>
      <c r="S211" s="6" t="s">
        <v>141</v>
      </c>
      <c r="T211" t="s">
        <v>21</v>
      </c>
    </row>
    <row r="212" spans="1:20" x14ac:dyDescent="0.25">
      <c r="A212" t="s">
        <v>15</v>
      </c>
      <c r="B212" t="s">
        <v>58</v>
      </c>
      <c r="C212" t="s">
        <v>59</v>
      </c>
      <c r="D212" t="s">
        <v>60</v>
      </c>
      <c r="E212" t="s">
        <v>1358</v>
      </c>
      <c r="F212" t="s">
        <v>19</v>
      </c>
      <c r="G212" s="2">
        <v>46141</v>
      </c>
      <c r="H212" s="2">
        <v>46244</v>
      </c>
      <c r="I212" s="3">
        <v>37475916</v>
      </c>
      <c r="J212" t="s">
        <v>20</v>
      </c>
      <c r="K212" s="1">
        <v>46142</v>
      </c>
      <c r="L212" s="3">
        <v>38286520</v>
      </c>
      <c r="M212" s="3">
        <v>37483620.841573</v>
      </c>
      <c r="N212" s="3">
        <v>37483620.841573</v>
      </c>
      <c r="O212" s="6" t="s">
        <v>452</v>
      </c>
      <c r="P212" t="s">
        <v>196</v>
      </c>
      <c r="Q212" s="3">
        <v>102</v>
      </c>
      <c r="R212" s="5">
        <v>0.283333</v>
      </c>
      <c r="S212" s="6" t="s">
        <v>141</v>
      </c>
      <c r="T212" t="s">
        <v>21</v>
      </c>
    </row>
    <row r="213" spans="1:20" x14ac:dyDescent="0.25">
      <c r="A213" t="s">
        <v>15</v>
      </c>
      <c r="B213" t="s">
        <v>58</v>
      </c>
      <c r="C213" t="s">
        <v>59</v>
      </c>
      <c r="D213" t="s">
        <v>60</v>
      </c>
      <c r="E213" t="s">
        <v>1340</v>
      </c>
      <c r="F213" t="s">
        <v>19</v>
      </c>
      <c r="G213" s="2">
        <v>46118</v>
      </c>
      <c r="H213" s="2">
        <v>46216</v>
      </c>
      <c r="I213" s="3">
        <v>104579503</v>
      </c>
      <c r="J213" t="s">
        <v>20</v>
      </c>
      <c r="K213" s="1">
        <v>46142</v>
      </c>
      <c r="L213" s="3">
        <v>106731749</v>
      </c>
      <c r="M213" s="3">
        <v>105098518.029817</v>
      </c>
      <c r="N213" s="3">
        <v>105098518.029817</v>
      </c>
      <c r="O213" s="6" t="s">
        <v>144</v>
      </c>
      <c r="P213" t="s">
        <v>196</v>
      </c>
      <c r="Q213" s="3">
        <v>74</v>
      </c>
      <c r="R213" s="5">
        <v>0.20555499999999999</v>
      </c>
      <c r="S213" s="6" t="s">
        <v>145</v>
      </c>
      <c r="T213" t="s">
        <v>21</v>
      </c>
    </row>
    <row r="214" spans="1:20" x14ac:dyDescent="0.25">
      <c r="A214" t="s">
        <v>15</v>
      </c>
      <c r="B214" t="s">
        <v>58</v>
      </c>
      <c r="C214" t="s">
        <v>59</v>
      </c>
      <c r="D214" t="s">
        <v>60</v>
      </c>
      <c r="E214" t="s">
        <v>1340</v>
      </c>
      <c r="F214" t="s">
        <v>19</v>
      </c>
      <c r="G214" s="2">
        <v>46118</v>
      </c>
      <c r="H214" s="2">
        <v>46216</v>
      </c>
      <c r="I214" s="3">
        <v>167101864</v>
      </c>
      <c r="J214" t="s">
        <v>20</v>
      </c>
      <c r="K214" s="1">
        <v>46142</v>
      </c>
      <c r="L214" s="3">
        <v>170540820</v>
      </c>
      <c r="M214" s="3">
        <v>167931169.624042</v>
      </c>
      <c r="N214" s="3">
        <v>167931169.624042</v>
      </c>
      <c r="O214" s="6" t="s">
        <v>144</v>
      </c>
      <c r="P214" t="s">
        <v>196</v>
      </c>
      <c r="Q214" s="3">
        <v>74</v>
      </c>
      <c r="R214" s="5">
        <v>0.20555499999999999</v>
      </c>
      <c r="S214" s="6" t="s">
        <v>145</v>
      </c>
      <c r="T214" t="s">
        <v>21</v>
      </c>
    </row>
    <row r="215" spans="1:20" x14ac:dyDescent="0.25">
      <c r="A215" t="s">
        <v>15</v>
      </c>
      <c r="B215" t="s">
        <v>58</v>
      </c>
      <c r="C215" t="s">
        <v>59</v>
      </c>
      <c r="D215" t="s">
        <v>60</v>
      </c>
      <c r="E215" t="s">
        <v>25</v>
      </c>
      <c r="F215" t="s">
        <v>19</v>
      </c>
      <c r="G215" s="2">
        <v>46051</v>
      </c>
      <c r="H215" s="2">
        <v>46156</v>
      </c>
      <c r="I215" s="3">
        <v>104296423</v>
      </c>
      <c r="J215" t="s">
        <v>20</v>
      </c>
      <c r="K215" s="1">
        <v>46142</v>
      </c>
      <c r="L215" s="3">
        <v>105676265</v>
      </c>
      <c r="M215" s="3">
        <v>105366487.52667201</v>
      </c>
      <c r="N215" s="3">
        <v>105366487.52667201</v>
      </c>
      <c r="O215" s="6" t="s">
        <v>452</v>
      </c>
      <c r="P215" t="s">
        <v>196</v>
      </c>
      <c r="Q215" s="3">
        <v>14</v>
      </c>
      <c r="R215" s="5">
        <v>3.8887999999999999E-2</v>
      </c>
      <c r="S215" s="6" t="s">
        <v>143</v>
      </c>
      <c r="T215" t="s">
        <v>21</v>
      </c>
    </row>
    <row r="216" spans="1:20" x14ac:dyDescent="0.25">
      <c r="A216" t="s">
        <v>15</v>
      </c>
      <c r="B216" t="s">
        <v>58</v>
      </c>
      <c r="C216" t="s">
        <v>59</v>
      </c>
      <c r="D216" t="s">
        <v>60</v>
      </c>
      <c r="E216" t="s">
        <v>25</v>
      </c>
      <c r="F216" t="s">
        <v>19</v>
      </c>
      <c r="G216" s="2">
        <v>46051</v>
      </c>
      <c r="H216" s="2">
        <v>46156</v>
      </c>
      <c r="I216" s="3">
        <v>1044527</v>
      </c>
      <c r="J216" t="s">
        <v>20</v>
      </c>
      <c r="K216" s="1">
        <v>46142</v>
      </c>
      <c r="L216" s="3">
        <v>1058346</v>
      </c>
      <c r="M216" s="3">
        <v>1055243.5838629999</v>
      </c>
      <c r="N216" s="3">
        <v>1055243.5838629999</v>
      </c>
      <c r="O216" s="6" t="s">
        <v>452</v>
      </c>
      <c r="P216" t="s">
        <v>196</v>
      </c>
      <c r="Q216" s="3">
        <v>14</v>
      </c>
      <c r="R216" s="5">
        <v>3.8887999999999999E-2</v>
      </c>
      <c r="S216" s="6" t="s">
        <v>143</v>
      </c>
      <c r="T216" t="s">
        <v>21</v>
      </c>
    </row>
    <row r="217" spans="1:20" x14ac:dyDescent="0.25">
      <c r="A217" t="s">
        <v>15</v>
      </c>
      <c r="B217" t="s">
        <v>58</v>
      </c>
      <c r="C217" t="s">
        <v>59</v>
      </c>
      <c r="D217" t="s">
        <v>60</v>
      </c>
      <c r="E217" t="s">
        <v>26</v>
      </c>
      <c r="F217" t="s">
        <v>19</v>
      </c>
      <c r="G217" s="2">
        <v>46052</v>
      </c>
      <c r="H217" s="2">
        <v>46157</v>
      </c>
      <c r="I217" s="3">
        <v>6121050</v>
      </c>
      <c r="J217" t="s">
        <v>20</v>
      </c>
      <c r="K217" s="1">
        <v>46142</v>
      </c>
      <c r="L217" s="3">
        <v>6148044</v>
      </c>
      <c r="M217" s="3">
        <v>6128738.4738079999</v>
      </c>
      <c r="N217" s="3">
        <v>6128738.4738079999</v>
      </c>
      <c r="O217" s="6" t="s">
        <v>521</v>
      </c>
      <c r="P217" t="s">
        <v>196</v>
      </c>
      <c r="Q217" s="3">
        <v>15</v>
      </c>
      <c r="R217" s="5">
        <v>4.1666000000000002E-2</v>
      </c>
      <c r="S217" s="6" t="s">
        <v>143</v>
      </c>
      <c r="T217" t="s">
        <v>21</v>
      </c>
    </row>
    <row r="218" spans="1:20" x14ac:dyDescent="0.25">
      <c r="A218" t="s">
        <v>15</v>
      </c>
      <c r="B218" t="s">
        <v>58</v>
      </c>
      <c r="C218" t="s">
        <v>59</v>
      </c>
      <c r="D218" t="s">
        <v>60</v>
      </c>
      <c r="E218" t="s">
        <v>26</v>
      </c>
      <c r="F218" t="s">
        <v>19</v>
      </c>
      <c r="G218" s="2">
        <v>46052</v>
      </c>
      <c r="H218" s="2">
        <v>46157</v>
      </c>
      <c r="I218" s="3">
        <v>38829923</v>
      </c>
      <c r="J218" t="s">
        <v>20</v>
      </c>
      <c r="K218" s="1">
        <v>46142</v>
      </c>
      <c r="L218" s="3">
        <v>39351797</v>
      </c>
      <c r="M218" s="3">
        <v>39228228.081542999</v>
      </c>
      <c r="N218" s="3">
        <v>39228228.081542999</v>
      </c>
      <c r="O218" s="6" t="s">
        <v>521</v>
      </c>
      <c r="P218" t="s">
        <v>196</v>
      </c>
      <c r="Q218" s="3">
        <v>15</v>
      </c>
      <c r="R218" s="5">
        <v>4.1666000000000002E-2</v>
      </c>
      <c r="S218" s="6" t="s">
        <v>143</v>
      </c>
      <c r="T218" t="s">
        <v>21</v>
      </c>
    </row>
    <row r="219" spans="1:20" x14ac:dyDescent="0.25">
      <c r="A219" t="s">
        <v>15</v>
      </c>
      <c r="B219" t="s">
        <v>58</v>
      </c>
      <c r="C219" t="s">
        <v>59</v>
      </c>
      <c r="D219" t="s">
        <v>60</v>
      </c>
      <c r="E219" t="s">
        <v>1297</v>
      </c>
      <c r="F219" t="s">
        <v>19</v>
      </c>
      <c r="G219" s="2">
        <v>46093</v>
      </c>
      <c r="H219" s="2">
        <v>46191</v>
      </c>
      <c r="I219" s="3">
        <v>3126885</v>
      </c>
      <c r="J219" t="s">
        <v>20</v>
      </c>
      <c r="K219" s="1">
        <v>46142</v>
      </c>
      <c r="L219" s="3">
        <v>3191236</v>
      </c>
      <c r="M219" s="3">
        <v>3158732.6411230001</v>
      </c>
      <c r="N219" s="3">
        <v>3158732.6411230001</v>
      </c>
      <c r="O219" s="6" t="s">
        <v>454</v>
      </c>
      <c r="P219" t="s">
        <v>196</v>
      </c>
      <c r="Q219" s="3">
        <v>49</v>
      </c>
      <c r="R219" s="5">
        <v>0.13611100000000001</v>
      </c>
      <c r="S219" s="6" t="s">
        <v>145</v>
      </c>
      <c r="T219" t="s">
        <v>21</v>
      </c>
    </row>
    <row r="220" spans="1:20" x14ac:dyDescent="0.25">
      <c r="A220" t="s">
        <v>15</v>
      </c>
      <c r="B220" t="s">
        <v>58</v>
      </c>
      <c r="C220" t="s">
        <v>59</v>
      </c>
      <c r="D220" t="s">
        <v>60</v>
      </c>
      <c r="E220" t="s">
        <v>1297</v>
      </c>
      <c r="F220" t="s">
        <v>19</v>
      </c>
      <c r="G220" s="2">
        <v>46093</v>
      </c>
      <c r="H220" s="2">
        <v>46191</v>
      </c>
      <c r="I220" s="3">
        <v>50777876</v>
      </c>
      <c r="J220" t="s">
        <v>20</v>
      </c>
      <c r="K220" s="1">
        <v>46142</v>
      </c>
      <c r="L220" s="3">
        <v>51822885</v>
      </c>
      <c r="M220" s="3">
        <v>51295058.844489999</v>
      </c>
      <c r="N220" s="3">
        <v>51295058.844489999</v>
      </c>
      <c r="O220" s="6" t="s">
        <v>454</v>
      </c>
      <c r="P220" t="s">
        <v>196</v>
      </c>
      <c r="Q220" s="3">
        <v>49</v>
      </c>
      <c r="R220" s="5">
        <v>0.13611100000000001</v>
      </c>
      <c r="S220" s="6" t="s">
        <v>145</v>
      </c>
      <c r="T220" t="s">
        <v>21</v>
      </c>
    </row>
    <row r="221" spans="1:20" x14ac:dyDescent="0.25">
      <c r="A221" t="s">
        <v>15</v>
      </c>
      <c r="B221" t="s">
        <v>58</v>
      </c>
      <c r="C221" t="s">
        <v>59</v>
      </c>
      <c r="D221" t="s">
        <v>60</v>
      </c>
      <c r="E221" t="s">
        <v>1342</v>
      </c>
      <c r="F221" t="s">
        <v>19</v>
      </c>
      <c r="G221" s="2">
        <v>46122</v>
      </c>
      <c r="H221" s="2">
        <v>46223</v>
      </c>
      <c r="I221" s="3">
        <v>116152404</v>
      </c>
      <c r="J221" t="s">
        <v>20</v>
      </c>
      <c r="K221" s="1">
        <v>46142</v>
      </c>
      <c r="L221" s="3">
        <v>118615996</v>
      </c>
      <c r="M221" s="3">
        <v>116632084.246959</v>
      </c>
      <c r="N221" s="3">
        <v>116632084.246959</v>
      </c>
      <c r="O221" s="6" t="s">
        <v>1264</v>
      </c>
      <c r="P221" t="s">
        <v>196</v>
      </c>
      <c r="Q221" s="3">
        <v>81</v>
      </c>
      <c r="R221" s="5">
        <v>0.22500000000000001</v>
      </c>
      <c r="S221" s="6" t="s">
        <v>145</v>
      </c>
      <c r="T221" t="s">
        <v>21</v>
      </c>
    </row>
    <row r="222" spans="1:20" x14ac:dyDescent="0.25">
      <c r="A222" t="s">
        <v>15</v>
      </c>
      <c r="B222" t="s">
        <v>58</v>
      </c>
      <c r="C222" t="s">
        <v>59</v>
      </c>
      <c r="D222" t="s">
        <v>60</v>
      </c>
      <c r="E222" t="s">
        <v>1332</v>
      </c>
      <c r="F222" t="s">
        <v>19</v>
      </c>
      <c r="G222" s="2">
        <v>46125</v>
      </c>
      <c r="H222" s="2">
        <v>46224</v>
      </c>
      <c r="I222" s="3">
        <v>10965824</v>
      </c>
      <c r="J222" t="s">
        <v>20</v>
      </c>
      <c r="K222" s="1">
        <v>46142</v>
      </c>
      <c r="L222" s="3">
        <v>11193803</v>
      </c>
      <c r="M222" s="3">
        <v>11004308.802422</v>
      </c>
      <c r="N222" s="3">
        <v>11004308.802422</v>
      </c>
      <c r="O222" s="6" t="s">
        <v>373</v>
      </c>
      <c r="P222" t="s">
        <v>196</v>
      </c>
      <c r="Q222" s="3">
        <v>82</v>
      </c>
      <c r="R222" s="5">
        <v>0.22777700000000001</v>
      </c>
      <c r="S222" s="6" t="s">
        <v>145</v>
      </c>
      <c r="T222" t="s">
        <v>21</v>
      </c>
    </row>
    <row r="223" spans="1:20" x14ac:dyDescent="0.25">
      <c r="A223" t="s">
        <v>15</v>
      </c>
      <c r="B223" t="s">
        <v>58</v>
      </c>
      <c r="C223" t="s">
        <v>59</v>
      </c>
      <c r="D223" t="s">
        <v>60</v>
      </c>
      <c r="E223" t="s">
        <v>28</v>
      </c>
      <c r="F223" t="s">
        <v>19</v>
      </c>
      <c r="G223" s="2">
        <v>46062</v>
      </c>
      <c r="H223" s="2">
        <v>46164</v>
      </c>
      <c r="I223" s="3">
        <v>20079400</v>
      </c>
      <c r="J223" t="s">
        <v>20</v>
      </c>
      <c r="K223" s="1">
        <v>46142</v>
      </c>
      <c r="L223" s="3">
        <v>20180600</v>
      </c>
      <c r="M223" s="3">
        <v>20087794.389919002</v>
      </c>
      <c r="N223" s="3">
        <v>20087794.389919002</v>
      </c>
      <c r="O223" s="6" t="s">
        <v>1333</v>
      </c>
      <c r="P223" t="s">
        <v>196</v>
      </c>
      <c r="Q223" s="3">
        <v>22</v>
      </c>
      <c r="R223" s="5">
        <v>6.1110999999999999E-2</v>
      </c>
      <c r="S223" s="6" t="s">
        <v>143</v>
      </c>
      <c r="T223" t="s">
        <v>21</v>
      </c>
    </row>
    <row r="224" spans="1:20" x14ac:dyDescent="0.25">
      <c r="A224" t="s">
        <v>15</v>
      </c>
      <c r="B224" t="s">
        <v>58</v>
      </c>
      <c r="C224" t="s">
        <v>59</v>
      </c>
      <c r="D224" t="s">
        <v>60</v>
      </c>
      <c r="E224" t="s">
        <v>1343</v>
      </c>
      <c r="F224" t="s">
        <v>19</v>
      </c>
      <c r="G224" s="2">
        <v>46126</v>
      </c>
      <c r="H224" s="2">
        <v>46225</v>
      </c>
      <c r="I224" s="3">
        <v>6509652</v>
      </c>
      <c r="J224" t="s">
        <v>20</v>
      </c>
      <c r="K224" s="1">
        <v>46142</v>
      </c>
      <c r="L224" s="3">
        <v>6644988</v>
      </c>
      <c r="M224" s="3">
        <v>6531150.0545490002</v>
      </c>
      <c r="N224" s="3">
        <v>6531150.0545490002</v>
      </c>
      <c r="O224" s="6" t="s">
        <v>521</v>
      </c>
      <c r="P224" t="s">
        <v>196</v>
      </c>
      <c r="Q224" s="3">
        <v>83</v>
      </c>
      <c r="R224" s="5">
        <v>0.23055500000000001</v>
      </c>
      <c r="S224" s="6" t="s">
        <v>145</v>
      </c>
      <c r="T224" t="s">
        <v>21</v>
      </c>
    </row>
    <row r="225" spans="1:20" x14ac:dyDescent="0.25">
      <c r="A225" t="s">
        <v>15</v>
      </c>
      <c r="B225" t="s">
        <v>58</v>
      </c>
      <c r="C225" t="s">
        <v>59</v>
      </c>
      <c r="D225" t="s">
        <v>60</v>
      </c>
      <c r="E225" t="s">
        <v>1343</v>
      </c>
      <c r="F225" t="s">
        <v>19</v>
      </c>
      <c r="G225" s="2">
        <v>46126</v>
      </c>
      <c r="H225" s="2">
        <v>46225</v>
      </c>
      <c r="I225" s="3">
        <v>253240703</v>
      </c>
      <c r="J225" t="s">
        <v>20</v>
      </c>
      <c r="K225" s="1">
        <v>46142</v>
      </c>
      <c r="L225" s="3">
        <v>258505577</v>
      </c>
      <c r="M225" s="3">
        <v>254077014.634913</v>
      </c>
      <c r="N225" s="3">
        <v>254077014.634913</v>
      </c>
      <c r="O225" s="6" t="s">
        <v>521</v>
      </c>
      <c r="P225" t="s">
        <v>196</v>
      </c>
      <c r="Q225" s="3">
        <v>83</v>
      </c>
      <c r="R225" s="5">
        <v>0.23055500000000001</v>
      </c>
      <c r="S225" s="6" t="s">
        <v>145</v>
      </c>
      <c r="T225" t="s">
        <v>21</v>
      </c>
    </row>
    <row r="226" spans="1:20" x14ac:dyDescent="0.25">
      <c r="A226" t="s">
        <v>15</v>
      </c>
      <c r="B226" t="s">
        <v>58</v>
      </c>
      <c r="C226" t="s">
        <v>59</v>
      </c>
      <c r="D226" t="s">
        <v>60</v>
      </c>
      <c r="E226" t="s">
        <v>1345</v>
      </c>
      <c r="F226" t="s">
        <v>19</v>
      </c>
      <c r="G226" s="2">
        <v>46128</v>
      </c>
      <c r="H226" s="2">
        <v>46227</v>
      </c>
      <c r="I226" s="3">
        <v>38416975</v>
      </c>
      <c r="J226" t="s">
        <v>20</v>
      </c>
      <c r="K226" s="1">
        <v>46142</v>
      </c>
      <c r="L226" s="3">
        <v>39215664</v>
      </c>
      <c r="M226" s="3">
        <v>38527940.266246997</v>
      </c>
      <c r="N226" s="3">
        <v>38527940.266246997</v>
      </c>
      <c r="O226" s="6" t="s">
        <v>147</v>
      </c>
      <c r="P226" t="s">
        <v>196</v>
      </c>
      <c r="Q226" s="3">
        <v>85</v>
      </c>
      <c r="R226" s="5">
        <v>0.23611099999999999</v>
      </c>
      <c r="S226" s="6" t="s">
        <v>145</v>
      </c>
      <c r="T226" t="s">
        <v>21</v>
      </c>
    </row>
    <row r="227" spans="1:20" x14ac:dyDescent="0.25">
      <c r="A227" t="s">
        <v>15</v>
      </c>
      <c r="B227" t="s">
        <v>58</v>
      </c>
      <c r="C227" t="s">
        <v>59</v>
      </c>
      <c r="D227" t="s">
        <v>60</v>
      </c>
      <c r="E227" t="s">
        <v>1300</v>
      </c>
      <c r="F227" t="s">
        <v>19</v>
      </c>
      <c r="G227" s="2">
        <v>46100</v>
      </c>
      <c r="H227" s="2">
        <v>46198</v>
      </c>
      <c r="I227" s="3">
        <v>148981898</v>
      </c>
      <c r="J227" t="s">
        <v>20</v>
      </c>
      <c r="K227" s="1">
        <v>46142</v>
      </c>
      <c r="L227" s="3">
        <v>152047945</v>
      </c>
      <c r="M227" s="3">
        <v>150280644.619277</v>
      </c>
      <c r="N227" s="3">
        <v>150280644.619277</v>
      </c>
      <c r="O227" s="6" t="s">
        <v>251</v>
      </c>
      <c r="P227" t="s">
        <v>196</v>
      </c>
      <c r="Q227" s="3">
        <v>56</v>
      </c>
      <c r="R227" s="5">
        <v>0.155555</v>
      </c>
      <c r="S227" s="6" t="s">
        <v>145</v>
      </c>
      <c r="T227" t="s">
        <v>21</v>
      </c>
    </row>
    <row r="228" spans="1:20" x14ac:dyDescent="0.25">
      <c r="A228" t="s">
        <v>15</v>
      </c>
      <c r="B228" t="s">
        <v>58</v>
      </c>
      <c r="C228" t="s">
        <v>59</v>
      </c>
      <c r="D228" t="s">
        <v>60</v>
      </c>
      <c r="E228" t="s">
        <v>41</v>
      </c>
      <c r="F228" t="s">
        <v>19</v>
      </c>
      <c r="G228" s="2">
        <v>46064</v>
      </c>
      <c r="H228" s="2">
        <v>46169</v>
      </c>
      <c r="I228" s="3">
        <v>35079144</v>
      </c>
      <c r="J228" t="s">
        <v>20</v>
      </c>
      <c r="K228" s="1">
        <v>46142</v>
      </c>
      <c r="L228" s="3">
        <v>35639007</v>
      </c>
      <c r="M228" s="3">
        <v>35438073.125379004</v>
      </c>
      <c r="N228" s="3">
        <v>35438073.125379004</v>
      </c>
      <c r="O228" s="6" t="s">
        <v>521</v>
      </c>
      <c r="P228" t="s">
        <v>196</v>
      </c>
      <c r="Q228" s="3">
        <v>27</v>
      </c>
      <c r="R228" s="5">
        <v>7.4999999999999997E-2</v>
      </c>
      <c r="S228" s="6" t="s">
        <v>143</v>
      </c>
      <c r="T228" t="s">
        <v>21</v>
      </c>
    </row>
    <row r="229" spans="1:20" x14ac:dyDescent="0.25">
      <c r="A229" t="s">
        <v>15</v>
      </c>
      <c r="B229" t="s">
        <v>58</v>
      </c>
      <c r="C229" t="s">
        <v>59</v>
      </c>
      <c r="D229" t="s">
        <v>60</v>
      </c>
      <c r="E229" t="s">
        <v>1346</v>
      </c>
      <c r="F229" t="s">
        <v>19</v>
      </c>
      <c r="G229" s="2">
        <v>46129</v>
      </c>
      <c r="H229" s="2">
        <v>46230</v>
      </c>
      <c r="I229" s="3">
        <v>48119164</v>
      </c>
      <c r="J229" t="s">
        <v>20</v>
      </c>
      <c r="K229" s="1">
        <v>46142</v>
      </c>
      <c r="L229" s="3">
        <v>49109456</v>
      </c>
      <c r="M229" s="3">
        <v>48218380.331473999</v>
      </c>
      <c r="N229" s="3">
        <v>48218380.331473999</v>
      </c>
      <c r="O229" s="6" t="s">
        <v>153</v>
      </c>
      <c r="P229" t="s">
        <v>196</v>
      </c>
      <c r="Q229" s="3">
        <v>88</v>
      </c>
      <c r="R229" s="5">
        <v>0.24444399999999999</v>
      </c>
      <c r="S229" s="6" t="s">
        <v>145</v>
      </c>
      <c r="T229" t="s">
        <v>21</v>
      </c>
    </row>
    <row r="230" spans="1:20" x14ac:dyDescent="0.25">
      <c r="A230" t="s">
        <v>15</v>
      </c>
      <c r="B230" t="s">
        <v>58</v>
      </c>
      <c r="C230" t="s">
        <v>59</v>
      </c>
      <c r="D230" t="s">
        <v>60</v>
      </c>
      <c r="E230" t="s">
        <v>1346</v>
      </c>
      <c r="F230" t="s">
        <v>19</v>
      </c>
      <c r="G230" s="2">
        <v>46129</v>
      </c>
      <c r="H230" s="2">
        <v>46230</v>
      </c>
      <c r="I230" s="3">
        <v>6638345</v>
      </c>
      <c r="J230" t="s">
        <v>20</v>
      </c>
      <c r="K230" s="1">
        <v>46142</v>
      </c>
      <c r="L230" s="3">
        <v>6769386</v>
      </c>
      <c r="M230" s="3">
        <v>6646557.61527</v>
      </c>
      <c r="N230" s="3">
        <v>6646557.61527</v>
      </c>
      <c r="O230" s="6" t="s">
        <v>153</v>
      </c>
      <c r="P230" t="s">
        <v>196</v>
      </c>
      <c r="Q230" s="3">
        <v>88</v>
      </c>
      <c r="R230" s="5">
        <v>0.24444399999999999</v>
      </c>
      <c r="S230" s="6" t="s">
        <v>145</v>
      </c>
      <c r="T230" t="s">
        <v>21</v>
      </c>
    </row>
    <row r="231" spans="1:20" x14ac:dyDescent="0.25">
      <c r="A231" t="s">
        <v>15</v>
      </c>
      <c r="B231" t="s">
        <v>58</v>
      </c>
      <c r="C231" t="s">
        <v>59</v>
      </c>
      <c r="D231" t="s">
        <v>60</v>
      </c>
      <c r="E231" t="s">
        <v>1346</v>
      </c>
      <c r="F231" t="s">
        <v>19</v>
      </c>
      <c r="G231" s="2">
        <v>46129</v>
      </c>
      <c r="H231" s="2">
        <v>46230</v>
      </c>
      <c r="I231" s="3">
        <v>129874121</v>
      </c>
      <c r="J231" t="s">
        <v>20</v>
      </c>
      <c r="K231" s="1">
        <v>46142</v>
      </c>
      <c r="L231" s="3">
        <v>132546930</v>
      </c>
      <c r="M231" s="3">
        <v>130141907.54850399</v>
      </c>
      <c r="N231" s="3">
        <v>130141907.54850399</v>
      </c>
      <c r="O231" s="6" t="s">
        <v>153</v>
      </c>
      <c r="P231" t="s">
        <v>196</v>
      </c>
      <c r="Q231" s="3">
        <v>88</v>
      </c>
      <c r="R231" s="5">
        <v>0.24444399999999999</v>
      </c>
      <c r="S231" s="6" t="s">
        <v>145</v>
      </c>
      <c r="T231" t="s">
        <v>21</v>
      </c>
    </row>
    <row r="232" spans="1:20" x14ac:dyDescent="0.25">
      <c r="A232" t="s">
        <v>15</v>
      </c>
      <c r="B232" t="s">
        <v>58</v>
      </c>
      <c r="C232" t="s">
        <v>59</v>
      </c>
      <c r="D232" t="s">
        <v>60</v>
      </c>
      <c r="E232" t="s">
        <v>1346</v>
      </c>
      <c r="F232" t="s">
        <v>19</v>
      </c>
      <c r="G232" s="2">
        <v>46129</v>
      </c>
      <c r="H232" s="2">
        <v>46230</v>
      </c>
      <c r="I232" s="3">
        <v>131993903</v>
      </c>
      <c r="J232" t="s">
        <v>20</v>
      </c>
      <c r="K232" s="1">
        <v>46142</v>
      </c>
      <c r="L232" s="3">
        <v>134710338</v>
      </c>
      <c r="M232" s="3">
        <v>132266061.18922301</v>
      </c>
      <c r="N232" s="3">
        <v>132266061.18922301</v>
      </c>
      <c r="O232" s="6" t="s">
        <v>153</v>
      </c>
      <c r="P232" t="s">
        <v>196</v>
      </c>
      <c r="Q232" s="3">
        <v>88</v>
      </c>
      <c r="R232" s="5">
        <v>0.24444399999999999</v>
      </c>
      <c r="S232" s="6" t="s">
        <v>145</v>
      </c>
      <c r="T232" t="s">
        <v>21</v>
      </c>
    </row>
    <row r="233" spans="1:20" x14ac:dyDescent="0.25">
      <c r="A233" t="s">
        <v>15</v>
      </c>
      <c r="B233" t="s">
        <v>58</v>
      </c>
      <c r="C233" t="s">
        <v>59</v>
      </c>
      <c r="D233" t="s">
        <v>60</v>
      </c>
      <c r="E233" t="s">
        <v>62</v>
      </c>
      <c r="F233" t="s">
        <v>19</v>
      </c>
      <c r="G233" s="2">
        <v>46069</v>
      </c>
      <c r="H233" s="2">
        <v>46170</v>
      </c>
      <c r="I233" s="3">
        <v>153010606</v>
      </c>
      <c r="J233" t="s">
        <v>20</v>
      </c>
      <c r="K233" s="1">
        <v>46142</v>
      </c>
      <c r="L233" s="3">
        <v>155484787</v>
      </c>
      <c r="M233" s="3">
        <v>154575880.82077399</v>
      </c>
      <c r="N233" s="3">
        <v>154575880.82077399</v>
      </c>
      <c r="O233" s="6" t="s">
        <v>169</v>
      </c>
      <c r="P233" t="s">
        <v>196</v>
      </c>
      <c r="Q233" s="3">
        <v>28</v>
      </c>
      <c r="R233" s="5">
        <v>7.7776999999999999E-2</v>
      </c>
      <c r="S233" s="6" t="s">
        <v>143</v>
      </c>
      <c r="T233" t="s">
        <v>21</v>
      </c>
    </row>
    <row r="234" spans="1:20" x14ac:dyDescent="0.25">
      <c r="A234" t="s">
        <v>15</v>
      </c>
      <c r="B234" t="s">
        <v>58</v>
      </c>
      <c r="C234" t="s">
        <v>59</v>
      </c>
      <c r="D234" t="s">
        <v>60</v>
      </c>
      <c r="E234" t="s">
        <v>62</v>
      </c>
      <c r="F234" t="s">
        <v>19</v>
      </c>
      <c r="G234" s="2">
        <v>46069</v>
      </c>
      <c r="H234" s="2">
        <v>46170</v>
      </c>
      <c r="I234" s="3">
        <v>61620802</v>
      </c>
      <c r="J234" t="s">
        <v>20</v>
      </c>
      <c r="K234" s="1">
        <v>46142</v>
      </c>
      <c r="L234" s="3">
        <v>62617210</v>
      </c>
      <c r="M234" s="3">
        <v>62251173.102159001</v>
      </c>
      <c r="N234" s="3">
        <v>62251173.102159001</v>
      </c>
      <c r="O234" s="6" t="s">
        <v>169</v>
      </c>
      <c r="P234" t="s">
        <v>196</v>
      </c>
      <c r="Q234" s="3">
        <v>28</v>
      </c>
      <c r="R234" s="5">
        <v>7.7776999999999999E-2</v>
      </c>
      <c r="S234" s="6" t="s">
        <v>143</v>
      </c>
      <c r="T234" t="s">
        <v>21</v>
      </c>
    </row>
    <row r="235" spans="1:20" x14ac:dyDescent="0.25">
      <c r="A235" t="s">
        <v>15</v>
      </c>
      <c r="B235" t="s">
        <v>58</v>
      </c>
      <c r="C235" t="s">
        <v>59</v>
      </c>
      <c r="D235" t="s">
        <v>60</v>
      </c>
      <c r="E235" t="s">
        <v>29</v>
      </c>
      <c r="F235" t="s">
        <v>19</v>
      </c>
      <c r="G235" s="2">
        <v>46080</v>
      </c>
      <c r="H235" s="2">
        <v>46171</v>
      </c>
      <c r="I235" s="3">
        <v>13435752</v>
      </c>
      <c r="J235" t="s">
        <v>20</v>
      </c>
      <c r="K235" s="1">
        <v>46142</v>
      </c>
      <c r="L235" s="3">
        <v>13619150</v>
      </c>
      <c r="M235" s="3">
        <v>13536711.427407</v>
      </c>
      <c r="N235" s="3">
        <v>13536711.427407</v>
      </c>
      <c r="O235" s="6" t="s">
        <v>140</v>
      </c>
      <c r="P235" t="s">
        <v>201</v>
      </c>
      <c r="Q235" s="3">
        <v>29</v>
      </c>
      <c r="R235" s="5">
        <v>8.0555000000000002E-2</v>
      </c>
      <c r="S235" s="6" t="s">
        <v>143</v>
      </c>
      <c r="T235" t="s">
        <v>21</v>
      </c>
    </row>
    <row r="236" spans="1:20" x14ac:dyDescent="0.25">
      <c r="A236" t="s">
        <v>15</v>
      </c>
      <c r="B236" t="s">
        <v>58</v>
      </c>
      <c r="C236" t="s">
        <v>59</v>
      </c>
      <c r="D236" t="s">
        <v>60</v>
      </c>
      <c r="E236" t="s">
        <v>1348</v>
      </c>
      <c r="F236" t="s">
        <v>19</v>
      </c>
      <c r="G236" s="2">
        <v>46134</v>
      </c>
      <c r="H236" s="2">
        <v>46233</v>
      </c>
      <c r="I236" s="3">
        <v>8710846</v>
      </c>
      <c r="J236" t="s">
        <v>20</v>
      </c>
      <c r="K236" s="1">
        <v>46142</v>
      </c>
      <c r="L236" s="3">
        <v>8891944</v>
      </c>
      <c r="M236" s="3">
        <v>8725205.3262159992</v>
      </c>
      <c r="N236" s="3">
        <v>8725205.3262159992</v>
      </c>
      <c r="O236" s="6" t="s">
        <v>147</v>
      </c>
      <c r="P236" t="s">
        <v>196</v>
      </c>
      <c r="Q236" s="3">
        <v>91</v>
      </c>
      <c r="R236" s="5">
        <v>0.25277699999999997</v>
      </c>
      <c r="S236" s="6" t="s">
        <v>141</v>
      </c>
      <c r="T236" t="s">
        <v>21</v>
      </c>
    </row>
    <row r="237" spans="1:20" x14ac:dyDescent="0.25">
      <c r="A237" t="s">
        <v>15</v>
      </c>
      <c r="B237" t="s">
        <v>58</v>
      </c>
      <c r="C237" t="s">
        <v>59</v>
      </c>
      <c r="D237" t="s">
        <v>60</v>
      </c>
      <c r="E237" t="s">
        <v>1348</v>
      </c>
      <c r="F237" t="s">
        <v>19</v>
      </c>
      <c r="G237" s="2">
        <v>46134</v>
      </c>
      <c r="H237" s="2">
        <v>46233</v>
      </c>
      <c r="I237" s="3">
        <v>48050155</v>
      </c>
      <c r="J237" t="s">
        <v>20</v>
      </c>
      <c r="K237" s="1">
        <v>46142</v>
      </c>
      <c r="L237" s="3">
        <v>49049118</v>
      </c>
      <c r="M237" s="3">
        <v>48129365.819195002</v>
      </c>
      <c r="N237" s="3">
        <v>48129365.819195002</v>
      </c>
      <c r="O237" s="6" t="s">
        <v>147</v>
      </c>
      <c r="P237" t="s">
        <v>196</v>
      </c>
      <c r="Q237" s="3">
        <v>91</v>
      </c>
      <c r="R237" s="5">
        <v>0.25277699999999997</v>
      </c>
      <c r="S237" s="6" t="s">
        <v>141</v>
      </c>
      <c r="T237" t="s">
        <v>21</v>
      </c>
    </row>
    <row r="238" spans="1:20" x14ac:dyDescent="0.25">
      <c r="A238" t="s">
        <v>15</v>
      </c>
      <c r="B238" t="s">
        <v>58</v>
      </c>
      <c r="C238" t="s">
        <v>59</v>
      </c>
      <c r="D238" t="s">
        <v>60</v>
      </c>
      <c r="E238" t="s">
        <v>1359</v>
      </c>
      <c r="F238" t="s">
        <v>19</v>
      </c>
      <c r="G238" s="2">
        <v>46135</v>
      </c>
      <c r="H238" s="2">
        <v>46234</v>
      </c>
      <c r="I238" s="3">
        <v>26566143</v>
      </c>
      <c r="J238" t="s">
        <v>20</v>
      </c>
      <c r="K238" s="1">
        <v>46142</v>
      </c>
      <c r="L238" s="3">
        <v>27118453</v>
      </c>
      <c r="M238" s="3">
        <v>26604454.930737998</v>
      </c>
      <c r="N238" s="3">
        <v>26604454.930737998</v>
      </c>
      <c r="O238" s="6" t="s">
        <v>521</v>
      </c>
      <c r="P238" t="s">
        <v>196</v>
      </c>
      <c r="Q238" s="3">
        <v>92</v>
      </c>
      <c r="R238" s="5">
        <v>0.25555499999999998</v>
      </c>
      <c r="S238" s="6" t="s">
        <v>141</v>
      </c>
      <c r="T238" t="s">
        <v>21</v>
      </c>
    </row>
    <row r="239" spans="1:20" x14ac:dyDescent="0.25">
      <c r="A239" t="s">
        <v>15</v>
      </c>
      <c r="B239" t="s">
        <v>58</v>
      </c>
      <c r="C239" t="s">
        <v>59</v>
      </c>
      <c r="D239" t="s">
        <v>60</v>
      </c>
      <c r="E239" t="s">
        <v>1360</v>
      </c>
      <c r="F239" t="s">
        <v>19</v>
      </c>
      <c r="G239" s="2">
        <v>46136</v>
      </c>
      <c r="H239" s="2">
        <v>46237</v>
      </c>
      <c r="I239" s="3">
        <v>42459173</v>
      </c>
      <c r="J239" t="s">
        <v>20</v>
      </c>
      <c r="K239" s="1">
        <v>46142</v>
      </c>
      <c r="L239" s="3">
        <v>43359732</v>
      </c>
      <c r="M239" s="3">
        <v>42511625.079660997</v>
      </c>
      <c r="N239" s="3">
        <v>42511625.079660997</v>
      </c>
      <c r="O239" s="6" t="s">
        <v>379</v>
      </c>
      <c r="P239" t="s">
        <v>1349</v>
      </c>
      <c r="Q239" s="3">
        <v>95</v>
      </c>
      <c r="R239" s="5">
        <v>0.26388800000000001</v>
      </c>
      <c r="S239" s="6" t="s">
        <v>141</v>
      </c>
      <c r="T239" t="s">
        <v>21</v>
      </c>
    </row>
    <row r="240" spans="1:20" x14ac:dyDescent="0.25">
      <c r="A240" t="s">
        <v>15</v>
      </c>
      <c r="B240" t="s">
        <v>58</v>
      </c>
      <c r="C240" t="s">
        <v>59</v>
      </c>
      <c r="D240" t="s">
        <v>60</v>
      </c>
      <c r="E240" t="s">
        <v>1360</v>
      </c>
      <c r="F240" t="s">
        <v>19</v>
      </c>
      <c r="G240" s="2">
        <v>46136</v>
      </c>
      <c r="H240" s="2">
        <v>46237</v>
      </c>
      <c r="I240" s="3">
        <v>26147081</v>
      </c>
      <c r="J240" t="s">
        <v>20</v>
      </c>
      <c r="K240" s="1">
        <v>46142</v>
      </c>
      <c r="L240" s="3">
        <v>26701661</v>
      </c>
      <c r="M240" s="3">
        <v>26179382.322663002</v>
      </c>
      <c r="N240" s="3">
        <v>26179382.322663002</v>
      </c>
      <c r="O240" s="6" t="s">
        <v>379</v>
      </c>
      <c r="P240" t="s">
        <v>1349</v>
      </c>
      <c r="Q240" s="3">
        <v>95</v>
      </c>
      <c r="R240" s="5">
        <v>0.26388800000000001</v>
      </c>
      <c r="S240" s="6" t="s">
        <v>141</v>
      </c>
      <c r="T240" t="s">
        <v>21</v>
      </c>
    </row>
    <row r="241" spans="1:20" x14ac:dyDescent="0.25">
      <c r="A241" t="s">
        <v>15</v>
      </c>
      <c r="B241" t="s">
        <v>58</v>
      </c>
      <c r="C241" t="s">
        <v>59</v>
      </c>
      <c r="D241" t="s">
        <v>60</v>
      </c>
      <c r="E241" t="s">
        <v>43</v>
      </c>
      <c r="F241" t="s">
        <v>19</v>
      </c>
      <c r="G241" s="2">
        <v>46043</v>
      </c>
      <c r="H241" s="2">
        <v>46146</v>
      </c>
      <c r="I241" s="3">
        <v>42722793</v>
      </c>
      <c r="J241" t="s">
        <v>20</v>
      </c>
      <c r="K241" s="1">
        <v>46142</v>
      </c>
      <c r="L241" s="3">
        <v>43009890</v>
      </c>
      <c r="M241" s="3">
        <v>42973792.014707997</v>
      </c>
      <c r="N241" s="3">
        <v>42973792.014707997</v>
      </c>
      <c r="O241" s="6"/>
      <c r="P241" t="s">
        <v>196</v>
      </c>
      <c r="Q241" s="3">
        <v>4</v>
      </c>
      <c r="R241" s="5">
        <v>1.1110999999999999E-2</v>
      </c>
      <c r="S241" s="6" t="s">
        <v>143</v>
      </c>
      <c r="T241" t="s">
        <v>21</v>
      </c>
    </row>
    <row r="242" spans="1:20" x14ac:dyDescent="0.25">
      <c r="A242" t="s">
        <v>15</v>
      </c>
      <c r="B242" t="s">
        <v>58</v>
      </c>
      <c r="C242" t="s">
        <v>59</v>
      </c>
      <c r="D242" t="s">
        <v>60</v>
      </c>
      <c r="E242" t="s">
        <v>43</v>
      </c>
      <c r="F242" t="s">
        <v>19</v>
      </c>
      <c r="G242" s="2">
        <v>46043</v>
      </c>
      <c r="H242" s="2">
        <v>46146</v>
      </c>
      <c r="I242" s="3">
        <v>200000000</v>
      </c>
      <c r="J242" t="s">
        <v>20</v>
      </c>
      <c r="K242" s="1">
        <v>46142</v>
      </c>
      <c r="L242" s="3">
        <v>201386000</v>
      </c>
      <c r="M242" s="3">
        <v>201216977.73869899</v>
      </c>
      <c r="N242" s="3">
        <v>201216977.73869899</v>
      </c>
      <c r="O242" s="6"/>
      <c r="P242" t="s">
        <v>196</v>
      </c>
      <c r="Q242" s="3">
        <v>4</v>
      </c>
      <c r="R242" s="5">
        <v>1.1110999999999999E-2</v>
      </c>
      <c r="S242" s="6" t="s">
        <v>143</v>
      </c>
      <c r="T242" t="s">
        <v>21</v>
      </c>
    </row>
    <row r="243" spans="1:20" x14ac:dyDescent="0.25">
      <c r="A243" t="s">
        <v>15</v>
      </c>
      <c r="B243" t="s">
        <v>58</v>
      </c>
      <c r="C243" t="s">
        <v>59</v>
      </c>
      <c r="D243" t="s">
        <v>60</v>
      </c>
      <c r="E243" t="s">
        <v>1361</v>
      </c>
      <c r="F243" t="s">
        <v>19</v>
      </c>
      <c r="G243" s="2">
        <v>46141</v>
      </c>
      <c r="H243" s="2">
        <v>46241</v>
      </c>
      <c r="I243" s="3">
        <v>110382404</v>
      </c>
      <c r="J243" t="s">
        <v>20</v>
      </c>
      <c r="K243" s="1">
        <v>46142</v>
      </c>
      <c r="L243" s="3">
        <v>112700434</v>
      </c>
      <c r="M243" s="3">
        <v>110405111.727192</v>
      </c>
      <c r="N243" s="3">
        <v>110405111.727192</v>
      </c>
      <c r="O243" s="6" t="s">
        <v>1362</v>
      </c>
      <c r="P243" t="s">
        <v>226</v>
      </c>
      <c r="Q243" s="3">
        <v>99</v>
      </c>
      <c r="R243" s="5">
        <v>0.27500000000000002</v>
      </c>
      <c r="S243" s="6" t="s">
        <v>141</v>
      </c>
      <c r="T243" t="s">
        <v>21</v>
      </c>
    </row>
    <row r="244" spans="1:20" x14ac:dyDescent="0.25">
      <c r="A244" t="s">
        <v>15</v>
      </c>
      <c r="B244" t="s">
        <v>58</v>
      </c>
      <c r="C244" t="s">
        <v>59</v>
      </c>
      <c r="D244" t="s">
        <v>60</v>
      </c>
      <c r="E244" t="s">
        <v>63</v>
      </c>
      <c r="F244" t="s">
        <v>19</v>
      </c>
      <c r="G244" s="2">
        <v>46049</v>
      </c>
      <c r="H244" s="2">
        <v>46150</v>
      </c>
      <c r="I244" s="3">
        <v>125029989</v>
      </c>
      <c r="J244" t="s">
        <v>20</v>
      </c>
      <c r="K244" s="1">
        <v>46142</v>
      </c>
      <c r="L244" s="3">
        <v>126526598</v>
      </c>
      <c r="M244" s="3">
        <v>126314389.825094</v>
      </c>
      <c r="N244" s="3">
        <v>126314389.825094</v>
      </c>
      <c r="O244" s="6" t="s">
        <v>170</v>
      </c>
      <c r="P244" t="s">
        <v>201</v>
      </c>
      <c r="Q244" s="3">
        <v>8</v>
      </c>
      <c r="R244" s="5">
        <v>2.2221999999999999E-2</v>
      </c>
      <c r="S244" s="6" t="s">
        <v>143</v>
      </c>
      <c r="T244" t="s">
        <v>21</v>
      </c>
    </row>
    <row r="245" spans="1:20" x14ac:dyDescent="0.25">
      <c r="A245" t="s">
        <v>15</v>
      </c>
      <c r="B245" t="s">
        <v>58</v>
      </c>
      <c r="C245" t="s">
        <v>59</v>
      </c>
      <c r="D245" t="s">
        <v>60</v>
      </c>
      <c r="E245" t="s">
        <v>57</v>
      </c>
      <c r="F245" t="s">
        <v>19</v>
      </c>
      <c r="G245" s="2">
        <v>46052</v>
      </c>
      <c r="H245" s="2">
        <v>46157</v>
      </c>
      <c r="I245" s="3">
        <v>233000373</v>
      </c>
      <c r="J245" t="s">
        <v>20</v>
      </c>
      <c r="K245" s="1">
        <v>46142</v>
      </c>
      <c r="L245" s="3">
        <v>236131898</v>
      </c>
      <c r="M245" s="3">
        <v>235390418.182724</v>
      </c>
      <c r="N245" s="3">
        <v>235390418.182724</v>
      </c>
      <c r="O245" s="6" t="s">
        <v>167</v>
      </c>
      <c r="P245" t="s">
        <v>201</v>
      </c>
      <c r="Q245" s="3">
        <v>15</v>
      </c>
      <c r="R245" s="5">
        <v>4.1666000000000002E-2</v>
      </c>
      <c r="S245" s="6" t="s">
        <v>143</v>
      </c>
      <c r="T245" t="s">
        <v>21</v>
      </c>
    </row>
    <row r="246" spans="1:20" x14ac:dyDescent="0.25">
      <c r="A246" t="s">
        <v>15</v>
      </c>
      <c r="B246" t="s">
        <v>58</v>
      </c>
      <c r="C246" t="s">
        <v>59</v>
      </c>
      <c r="D246" t="s">
        <v>60</v>
      </c>
      <c r="E246" t="s">
        <v>1307</v>
      </c>
      <c r="F246" t="s">
        <v>19</v>
      </c>
      <c r="G246" s="2">
        <v>46092</v>
      </c>
      <c r="H246" s="2">
        <v>46190</v>
      </c>
      <c r="I246" s="3">
        <v>586728674</v>
      </c>
      <c r="J246" t="s">
        <v>20</v>
      </c>
      <c r="K246" s="1">
        <v>46142</v>
      </c>
      <c r="L246" s="3">
        <v>598680337</v>
      </c>
      <c r="M246" s="3">
        <v>592705861.91192806</v>
      </c>
      <c r="N246" s="3">
        <v>592705861.91192806</v>
      </c>
      <c r="O246" s="6"/>
      <c r="P246" t="s">
        <v>196</v>
      </c>
      <c r="Q246" s="3">
        <v>48</v>
      </c>
      <c r="R246" s="5">
        <v>0.13333300000000001</v>
      </c>
      <c r="S246" s="6" t="s">
        <v>145</v>
      </c>
      <c r="T246" t="s">
        <v>21</v>
      </c>
    </row>
    <row r="247" spans="1:20" x14ac:dyDescent="0.25">
      <c r="A247" t="s">
        <v>15</v>
      </c>
      <c r="B247" t="s">
        <v>58</v>
      </c>
      <c r="C247" t="s">
        <v>59</v>
      </c>
      <c r="D247" t="s">
        <v>60</v>
      </c>
      <c r="E247" t="s">
        <v>1307</v>
      </c>
      <c r="F247" t="s">
        <v>19</v>
      </c>
      <c r="G247" s="2">
        <v>46092</v>
      </c>
      <c r="H247" s="2">
        <v>46190</v>
      </c>
      <c r="I247" s="3">
        <v>110764864</v>
      </c>
      <c r="J247" t="s">
        <v>20</v>
      </c>
      <c r="K247" s="1">
        <v>46142</v>
      </c>
      <c r="L247" s="3">
        <v>113021144</v>
      </c>
      <c r="M247" s="3">
        <v>111893259.939807</v>
      </c>
      <c r="N247" s="3">
        <v>111893259.939807</v>
      </c>
      <c r="O247" s="6"/>
      <c r="P247" t="s">
        <v>196</v>
      </c>
      <c r="Q247" s="3">
        <v>48</v>
      </c>
      <c r="R247" s="5">
        <v>0.13333300000000001</v>
      </c>
      <c r="S247" s="6" t="s">
        <v>145</v>
      </c>
      <c r="T247" t="s">
        <v>21</v>
      </c>
    </row>
    <row r="248" spans="1:20" x14ac:dyDescent="0.25">
      <c r="A248" t="s">
        <v>15</v>
      </c>
      <c r="B248" t="s">
        <v>58</v>
      </c>
      <c r="C248" t="s">
        <v>59</v>
      </c>
      <c r="D248" t="s">
        <v>60</v>
      </c>
      <c r="E248" t="s">
        <v>1308</v>
      </c>
      <c r="F248" t="s">
        <v>19</v>
      </c>
      <c r="G248" s="2">
        <v>46093</v>
      </c>
      <c r="H248" s="2">
        <v>46191</v>
      </c>
      <c r="I248" s="3">
        <v>150614159</v>
      </c>
      <c r="J248" t="s">
        <v>20</v>
      </c>
      <c r="K248" s="1">
        <v>46142</v>
      </c>
      <c r="L248" s="3">
        <v>153713798</v>
      </c>
      <c r="M248" s="3">
        <v>152148193.093072</v>
      </c>
      <c r="N248" s="3">
        <v>152148193.093072</v>
      </c>
      <c r="O248" s="6" t="s">
        <v>301</v>
      </c>
      <c r="P248" t="s">
        <v>201</v>
      </c>
      <c r="Q248" s="3">
        <v>49</v>
      </c>
      <c r="R248" s="5">
        <v>0.13611100000000001</v>
      </c>
      <c r="S248" s="6" t="s">
        <v>145</v>
      </c>
      <c r="T248" t="s">
        <v>21</v>
      </c>
    </row>
    <row r="249" spans="1:20" x14ac:dyDescent="0.25">
      <c r="A249" t="s">
        <v>15</v>
      </c>
      <c r="B249" t="s">
        <v>58</v>
      </c>
      <c r="C249" t="s">
        <v>59</v>
      </c>
      <c r="D249" t="s">
        <v>60</v>
      </c>
      <c r="E249" t="s">
        <v>50</v>
      </c>
      <c r="F249" t="s">
        <v>19</v>
      </c>
      <c r="G249" s="2">
        <v>46064</v>
      </c>
      <c r="H249" s="2">
        <v>46169</v>
      </c>
      <c r="I249" s="3">
        <v>55356432</v>
      </c>
      <c r="J249" t="s">
        <v>20</v>
      </c>
      <c r="K249" s="1">
        <v>46142</v>
      </c>
      <c r="L249" s="3">
        <v>56239921</v>
      </c>
      <c r="M249" s="3">
        <v>55922838.505672999</v>
      </c>
      <c r="N249" s="3">
        <v>55922838.505672999</v>
      </c>
      <c r="O249" s="6" t="s">
        <v>163</v>
      </c>
      <c r="P249" t="s">
        <v>201</v>
      </c>
      <c r="Q249" s="3">
        <v>27</v>
      </c>
      <c r="R249" s="5">
        <v>7.4999999999999997E-2</v>
      </c>
      <c r="S249" s="6" t="s">
        <v>143</v>
      </c>
      <c r="T249" t="s">
        <v>21</v>
      </c>
    </row>
    <row r="250" spans="1:20" x14ac:dyDescent="0.25">
      <c r="A250" t="s">
        <v>54</v>
      </c>
      <c r="B250" t="s">
        <v>64</v>
      </c>
      <c r="C250" t="s">
        <v>64</v>
      </c>
      <c r="D250" t="s">
        <v>65</v>
      </c>
      <c r="E250" t="s">
        <v>30</v>
      </c>
      <c r="F250" t="s">
        <v>19</v>
      </c>
      <c r="G250" s="2">
        <v>46076</v>
      </c>
      <c r="H250" s="2">
        <v>46174</v>
      </c>
      <c r="I250" s="3">
        <v>6542335</v>
      </c>
      <c r="J250" t="s">
        <v>20</v>
      </c>
      <c r="K250" s="1">
        <v>46142</v>
      </c>
      <c r="L250" s="3">
        <v>6687662</v>
      </c>
      <c r="M250" s="3">
        <v>6639503.4681770001</v>
      </c>
      <c r="N250" s="3">
        <v>6639503.4681770001</v>
      </c>
      <c r="O250" s="6" t="s">
        <v>452</v>
      </c>
      <c r="P250" t="s">
        <v>196</v>
      </c>
      <c r="Q250" s="3">
        <v>32</v>
      </c>
      <c r="R250" s="5">
        <v>8.8887999999999995E-2</v>
      </c>
      <c r="S250" s="6" t="s">
        <v>145</v>
      </c>
      <c r="T250" t="s">
        <v>21</v>
      </c>
    </row>
    <row r="251" spans="1:20" x14ac:dyDescent="0.25">
      <c r="A251" t="s">
        <v>54</v>
      </c>
      <c r="B251" t="s">
        <v>64</v>
      </c>
      <c r="C251" t="s">
        <v>64</v>
      </c>
      <c r="D251" t="s">
        <v>65</v>
      </c>
      <c r="E251" t="s">
        <v>1289</v>
      </c>
      <c r="F251" t="s">
        <v>19</v>
      </c>
      <c r="G251" s="2">
        <v>46105</v>
      </c>
      <c r="H251" s="2">
        <v>46204</v>
      </c>
      <c r="I251" s="3">
        <v>24871822</v>
      </c>
      <c r="J251" t="s">
        <v>20</v>
      </c>
      <c r="K251" s="1">
        <v>46142</v>
      </c>
      <c r="L251" s="3">
        <v>25388907</v>
      </c>
      <c r="M251" s="3">
        <v>25062592.051490001</v>
      </c>
      <c r="N251" s="3">
        <v>25062592.051490001</v>
      </c>
      <c r="O251" s="6" t="s">
        <v>312</v>
      </c>
      <c r="P251" t="s">
        <v>196</v>
      </c>
      <c r="Q251" s="3">
        <v>62</v>
      </c>
      <c r="R251" s="5">
        <v>0.17222199999999999</v>
      </c>
      <c r="S251" s="6" t="s">
        <v>145</v>
      </c>
      <c r="T251" t="s">
        <v>21</v>
      </c>
    </row>
    <row r="252" spans="1:20" x14ac:dyDescent="0.25">
      <c r="A252" t="s">
        <v>54</v>
      </c>
      <c r="B252" t="s">
        <v>64</v>
      </c>
      <c r="C252" t="s">
        <v>64</v>
      </c>
      <c r="D252" t="s">
        <v>65</v>
      </c>
      <c r="E252" t="s">
        <v>31</v>
      </c>
      <c r="F252" t="s">
        <v>19</v>
      </c>
      <c r="G252" s="2">
        <v>46077</v>
      </c>
      <c r="H252" s="2">
        <v>46175</v>
      </c>
      <c r="I252" s="3">
        <v>13229091</v>
      </c>
      <c r="J252" t="s">
        <v>20</v>
      </c>
      <c r="K252" s="1">
        <v>46142</v>
      </c>
      <c r="L252" s="3">
        <v>13522953</v>
      </c>
      <c r="M252" s="3">
        <v>13422552.308731001</v>
      </c>
      <c r="N252" s="3">
        <v>13422552.308731001</v>
      </c>
      <c r="O252" s="6" t="s">
        <v>149</v>
      </c>
      <c r="P252" t="s">
        <v>201</v>
      </c>
      <c r="Q252" s="3">
        <v>33</v>
      </c>
      <c r="R252" s="5">
        <v>9.1665999999999997E-2</v>
      </c>
      <c r="S252" s="6" t="s">
        <v>145</v>
      </c>
      <c r="T252" t="s">
        <v>21</v>
      </c>
    </row>
    <row r="253" spans="1:20" x14ac:dyDescent="0.25">
      <c r="A253" t="s">
        <v>54</v>
      </c>
      <c r="B253" t="s">
        <v>64</v>
      </c>
      <c r="C253" t="s">
        <v>64</v>
      </c>
      <c r="D253" t="s">
        <v>65</v>
      </c>
      <c r="E253" t="s">
        <v>1330</v>
      </c>
      <c r="F253" t="s">
        <v>19</v>
      </c>
      <c r="G253" s="2">
        <v>46136</v>
      </c>
      <c r="H253" s="2">
        <v>46237</v>
      </c>
      <c r="I253" s="3">
        <v>4185625</v>
      </c>
      <c r="J253" t="s">
        <v>20</v>
      </c>
      <c r="K253" s="1">
        <v>46142</v>
      </c>
      <c r="L253" s="3">
        <v>4274402</v>
      </c>
      <c r="M253" s="3">
        <v>4190795.627237</v>
      </c>
      <c r="N253" s="3">
        <v>4190795.627237</v>
      </c>
      <c r="O253" s="6" t="s">
        <v>521</v>
      </c>
      <c r="P253" t="s">
        <v>196</v>
      </c>
      <c r="Q253" s="3">
        <v>95</v>
      </c>
      <c r="R253" s="5">
        <v>0.26388800000000001</v>
      </c>
      <c r="S253" s="6" t="s">
        <v>141</v>
      </c>
      <c r="T253" t="s">
        <v>21</v>
      </c>
    </row>
    <row r="254" spans="1:20" x14ac:dyDescent="0.25">
      <c r="A254" t="s">
        <v>54</v>
      </c>
      <c r="B254" t="s">
        <v>64</v>
      </c>
      <c r="C254" t="s">
        <v>64</v>
      </c>
      <c r="D254" t="s">
        <v>65</v>
      </c>
      <c r="E254" t="s">
        <v>22</v>
      </c>
      <c r="F254" t="s">
        <v>19</v>
      </c>
      <c r="G254" s="2">
        <v>46043</v>
      </c>
      <c r="H254" s="2">
        <v>46146</v>
      </c>
      <c r="I254" s="3">
        <v>15446989</v>
      </c>
      <c r="J254" t="s">
        <v>20</v>
      </c>
      <c r="K254" s="1">
        <v>46142</v>
      </c>
      <c r="L254" s="3">
        <v>15800622</v>
      </c>
      <c r="M254" s="3">
        <v>15786309.079768</v>
      </c>
      <c r="N254" s="3">
        <v>15786309.079768</v>
      </c>
      <c r="O254" s="6"/>
      <c r="P254" t="s">
        <v>196</v>
      </c>
      <c r="Q254" s="3">
        <v>4</v>
      </c>
      <c r="R254" s="5">
        <v>1.1110999999999999E-2</v>
      </c>
      <c r="S254" s="6" t="s">
        <v>143</v>
      </c>
      <c r="T254" t="s">
        <v>21</v>
      </c>
    </row>
    <row r="255" spans="1:20" x14ac:dyDescent="0.25">
      <c r="A255" t="s">
        <v>54</v>
      </c>
      <c r="B255" t="s">
        <v>64</v>
      </c>
      <c r="C255" t="s">
        <v>64</v>
      </c>
      <c r="D255" t="s">
        <v>65</v>
      </c>
      <c r="E255" t="s">
        <v>1291</v>
      </c>
      <c r="F255" t="s">
        <v>19</v>
      </c>
      <c r="G255" s="2">
        <v>46083</v>
      </c>
      <c r="H255" s="2">
        <v>46177</v>
      </c>
      <c r="I255" s="3">
        <v>28940502</v>
      </c>
      <c r="J255" t="s">
        <v>20</v>
      </c>
      <c r="K255" s="1">
        <v>46142</v>
      </c>
      <c r="L255" s="3">
        <v>29557128</v>
      </c>
      <c r="M255" s="3">
        <v>29324487.069251001</v>
      </c>
      <c r="N255" s="3">
        <v>29324487.069251001</v>
      </c>
      <c r="O255" s="6" t="s">
        <v>282</v>
      </c>
      <c r="P255" t="s">
        <v>196</v>
      </c>
      <c r="Q255" s="3">
        <v>35</v>
      </c>
      <c r="R255" s="5">
        <v>9.7222000000000003E-2</v>
      </c>
      <c r="S255" s="6" t="s">
        <v>145</v>
      </c>
      <c r="T255" t="s">
        <v>21</v>
      </c>
    </row>
    <row r="256" spans="1:20" x14ac:dyDescent="0.25">
      <c r="A256" t="s">
        <v>54</v>
      </c>
      <c r="B256" t="s">
        <v>64</v>
      </c>
      <c r="C256" t="s">
        <v>64</v>
      </c>
      <c r="D256" t="s">
        <v>65</v>
      </c>
      <c r="E256" t="s">
        <v>38</v>
      </c>
      <c r="F256" t="s">
        <v>19</v>
      </c>
      <c r="G256" s="2">
        <v>46050</v>
      </c>
      <c r="H256" s="2">
        <v>46154</v>
      </c>
      <c r="I256" s="3">
        <v>63312114</v>
      </c>
      <c r="J256" t="s">
        <v>20</v>
      </c>
      <c r="K256" s="1">
        <v>46142</v>
      </c>
      <c r="L256" s="3">
        <v>64804592</v>
      </c>
      <c r="M256" s="3">
        <v>64628801.659486003</v>
      </c>
      <c r="N256" s="3">
        <v>64628801.659486003</v>
      </c>
      <c r="O256" s="6" t="s">
        <v>147</v>
      </c>
      <c r="P256" t="s">
        <v>196</v>
      </c>
      <c r="Q256" s="3">
        <v>12</v>
      </c>
      <c r="R256" s="5">
        <v>3.3333000000000002E-2</v>
      </c>
      <c r="S256" s="6" t="s">
        <v>143</v>
      </c>
      <c r="T256" t="s">
        <v>21</v>
      </c>
    </row>
    <row r="257" spans="1:20" x14ac:dyDescent="0.25">
      <c r="A257" t="s">
        <v>54</v>
      </c>
      <c r="B257" t="s">
        <v>64</v>
      </c>
      <c r="C257" t="s">
        <v>64</v>
      </c>
      <c r="D257" t="s">
        <v>65</v>
      </c>
      <c r="E257" t="s">
        <v>38</v>
      </c>
      <c r="F257" t="s">
        <v>19</v>
      </c>
      <c r="G257" s="2">
        <v>46050</v>
      </c>
      <c r="H257" s="2">
        <v>46154</v>
      </c>
      <c r="I257" s="3">
        <v>30763569</v>
      </c>
      <c r="J257" t="s">
        <v>20</v>
      </c>
      <c r="K257" s="1">
        <v>46142</v>
      </c>
      <c r="L257" s="3">
        <v>31446930</v>
      </c>
      <c r="M257" s="3">
        <v>31361626.376256999</v>
      </c>
      <c r="N257" s="3">
        <v>31361626.376256999</v>
      </c>
      <c r="O257" s="6" t="s">
        <v>147</v>
      </c>
      <c r="P257" t="s">
        <v>196</v>
      </c>
      <c r="Q257" s="3">
        <v>12</v>
      </c>
      <c r="R257" s="5">
        <v>3.3333000000000002E-2</v>
      </c>
      <c r="S257" s="6" t="s">
        <v>143</v>
      </c>
      <c r="T257" t="s">
        <v>21</v>
      </c>
    </row>
    <row r="258" spans="1:20" x14ac:dyDescent="0.25">
      <c r="A258" t="s">
        <v>54</v>
      </c>
      <c r="B258" t="s">
        <v>64</v>
      </c>
      <c r="C258" t="s">
        <v>64</v>
      </c>
      <c r="D258" t="s">
        <v>65</v>
      </c>
      <c r="E258" t="s">
        <v>1363</v>
      </c>
      <c r="F258" t="s">
        <v>19</v>
      </c>
      <c r="G258" s="2">
        <v>46119</v>
      </c>
      <c r="H258" s="2">
        <v>46217</v>
      </c>
      <c r="I258" s="3">
        <v>16443295</v>
      </c>
      <c r="J258" t="s">
        <v>20</v>
      </c>
      <c r="K258" s="1">
        <v>46142</v>
      </c>
      <c r="L258" s="3">
        <v>16781698</v>
      </c>
      <c r="M258" s="3">
        <v>16521484.617278</v>
      </c>
      <c r="N258" s="3">
        <v>16521484.617278</v>
      </c>
      <c r="O258" s="6" t="s">
        <v>140</v>
      </c>
      <c r="P258" t="s">
        <v>201</v>
      </c>
      <c r="Q258" s="3">
        <v>75</v>
      </c>
      <c r="R258" s="5">
        <v>0.20833299999999999</v>
      </c>
      <c r="S258" s="6" t="s">
        <v>145</v>
      </c>
      <c r="T258" t="s">
        <v>21</v>
      </c>
    </row>
    <row r="259" spans="1:20" x14ac:dyDescent="0.25">
      <c r="A259" t="s">
        <v>54</v>
      </c>
      <c r="B259" t="s">
        <v>64</v>
      </c>
      <c r="C259" t="s">
        <v>64</v>
      </c>
      <c r="D259" t="s">
        <v>65</v>
      </c>
      <c r="E259" t="s">
        <v>26</v>
      </c>
      <c r="F259" t="s">
        <v>19</v>
      </c>
      <c r="G259" s="2">
        <v>46052</v>
      </c>
      <c r="H259" s="2">
        <v>46157</v>
      </c>
      <c r="I259" s="3">
        <v>16009867</v>
      </c>
      <c r="J259" t="s">
        <v>20</v>
      </c>
      <c r="K259" s="1">
        <v>46142</v>
      </c>
      <c r="L259" s="3">
        <v>16296550</v>
      </c>
      <c r="M259" s="3">
        <v>16241329.479769001</v>
      </c>
      <c r="N259" s="3">
        <v>16241329.479769001</v>
      </c>
      <c r="O259" s="6" t="s">
        <v>521</v>
      </c>
      <c r="P259" t="s">
        <v>196</v>
      </c>
      <c r="Q259" s="3">
        <v>15</v>
      </c>
      <c r="R259" s="5">
        <v>4.1666000000000002E-2</v>
      </c>
      <c r="S259" s="6" t="s">
        <v>143</v>
      </c>
      <c r="T259" t="s">
        <v>21</v>
      </c>
    </row>
    <row r="260" spans="1:20" x14ac:dyDescent="0.25">
      <c r="A260" t="s">
        <v>54</v>
      </c>
      <c r="B260" t="s">
        <v>64</v>
      </c>
      <c r="C260" t="s">
        <v>64</v>
      </c>
      <c r="D260" t="s">
        <v>65</v>
      </c>
      <c r="E260" t="s">
        <v>1296</v>
      </c>
      <c r="F260" t="s">
        <v>19</v>
      </c>
      <c r="G260" s="2">
        <v>46092</v>
      </c>
      <c r="H260" s="2">
        <v>46190</v>
      </c>
      <c r="I260" s="3">
        <v>31897250</v>
      </c>
      <c r="J260" t="s">
        <v>20</v>
      </c>
      <c r="K260" s="1">
        <v>46142</v>
      </c>
      <c r="L260" s="3">
        <v>32574535</v>
      </c>
      <c r="M260" s="3">
        <v>32239246.832936998</v>
      </c>
      <c r="N260" s="3">
        <v>32239246.832936998</v>
      </c>
      <c r="O260" s="6" t="s">
        <v>454</v>
      </c>
      <c r="P260" t="s">
        <v>196</v>
      </c>
      <c r="Q260" s="3">
        <v>48</v>
      </c>
      <c r="R260" s="5">
        <v>0.13333300000000001</v>
      </c>
      <c r="S260" s="6" t="s">
        <v>145</v>
      </c>
      <c r="T260" t="s">
        <v>21</v>
      </c>
    </row>
    <row r="261" spans="1:20" x14ac:dyDescent="0.25">
      <c r="A261" t="s">
        <v>54</v>
      </c>
      <c r="B261" t="s">
        <v>64</v>
      </c>
      <c r="C261" t="s">
        <v>64</v>
      </c>
      <c r="D261" t="s">
        <v>65</v>
      </c>
      <c r="E261" t="s">
        <v>27</v>
      </c>
      <c r="F261" t="s">
        <v>19</v>
      </c>
      <c r="G261" s="2">
        <v>46052</v>
      </c>
      <c r="H261" s="2">
        <v>46160</v>
      </c>
      <c r="I261" s="3">
        <v>63704184</v>
      </c>
      <c r="J261" t="s">
        <v>20</v>
      </c>
      <c r="K261" s="1">
        <v>46142</v>
      </c>
      <c r="L261" s="3">
        <v>65191464</v>
      </c>
      <c r="M261" s="3">
        <v>64926563.620429002</v>
      </c>
      <c r="N261" s="3">
        <v>64926563.620429002</v>
      </c>
      <c r="O261" s="6" t="s">
        <v>452</v>
      </c>
      <c r="P261" t="s">
        <v>196</v>
      </c>
      <c r="Q261" s="3">
        <v>18</v>
      </c>
      <c r="R261" s="5">
        <v>0.05</v>
      </c>
      <c r="S261" s="6" t="s">
        <v>143</v>
      </c>
      <c r="T261" t="s">
        <v>21</v>
      </c>
    </row>
    <row r="262" spans="1:20" x14ac:dyDescent="0.25">
      <c r="A262" t="s">
        <v>54</v>
      </c>
      <c r="B262" t="s">
        <v>64</v>
      </c>
      <c r="C262" t="s">
        <v>64</v>
      </c>
      <c r="D262" t="s">
        <v>65</v>
      </c>
      <c r="E262" t="s">
        <v>1311</v>
      </c>
      <c r="F262" t="s">
        <v>19</v>
      </c>
      <c r="G262" s="2">
        <v>46094</v>
      </c>
      <c r="H262" s="2">
        <v>46192</v>
      </c>
      <c r="I262" s="3">
        <v>23382604</v>
      </c>
      <c r="J262" t="s">
        <v>20</v>
      </c>
      <c r="K262" s="1">
        <v>46142</v>
      </c>
      <c r="L262" s="3">
        <v>23863818</v>
      </c>
      <c r="M262" s="3">
        <v>23615851.558634002</v>
      </c>
      <c r="N262" s="3">
        <v>23615851.558634002</v>
      </c>
      <c r="O262" s="6"/>
      <c r="P262" t="s">
        <v>196</v>
      </c>
      <c r="Q262" s="3">
        <v>50</v>
      </c>
      <c r="R262" s="5">
        <v>0.13888800000000001</v>
      </c>
      <c r="S262" s="6" t="s">
        <v>145</v>
      </c>
      <c r="T262" t="s">
        <v>21</v>
      </c>
    </row>
    <row r="263" spans="1:20" x14ac:dyDescent="0.25">
      <c r="A263" t="s">
        <v>54</v>
      </c>
      <c r="B263" t="s">
        <v>64</v>
      </c>
      <c r="C263" t="s">
        <v>64</v>
      </c>
      <c r="D263" t="s">
        <v>65</v>
      </c>
      <c r="E263" t="s">
        <v>1311</v>
      </c>
      <c r="F263" t="s">
        <v>19</v>
      </c>
      <c r="G263" s="2">
        <v>46094</v>
      </c>
      <c r="H263" s="2">
        <v>46192</v>
      </c>
      <c r="I263" s="3">
        <v>11635071</v>
      </c>
      <c r="J263" t="s">
        <v>20</v>
      </c>
      <c r="K263" s="1">
        <v>46142</v>
      </c>
      <c r="L263" s="3">
        <v>11874521</v>
      </c>
      <c r="M263" s="3">
        <v>11751134.092034001</v>
      </c>
      <c r="N263" s="3">
        <v>11751134.092034001</v>
      </c>
      <c r="O263" s="6"/>
      <c r="P263" t="s">
        <v>196</v>
      </c>
      <c r="Q263" s="3">
        <v>50</v>
      </c>
      <c r="R263" s="5">
        <v>0.13888800000000001</v>
      </c>
      <c r="S263" s="6" t="s">
        <v>145</v>
      </c>
      <c r="T263" t="s">
        <v>21</v>
      </c>
    </row>
    <row r="264" spans="1:20" x14ac:dyDescent="0.25">
      <c r="A264" t="s">
        <v>54</v>
      </c>
      <c r="B264" t="s">
        <v>64</v>
      </c>
      <c r="C264" t="s">
        <v>64</v>
      </c>
      <c r="D264" t="s">
        <v>65</v>
      </c>
      <c r="E264" t="s">
        <v>1332</v>
      </c>
      <c r="F264" t="s">
        <v>19</v>
      </c>
      <c r="G264" s="2">
        <v>46125</v>
      </c>
      <c r="H264" s="2">
        <v>46224</v>
      </c>
      <c r="I264" s="3">
        <v>10972390</v>
      </c>
      <c r="J264" t="s">
        <v>20</v>
      </c>
      <c r="K264" s="1">
        <v>46142</v>
      </c>
      <c r="L264" s="3">
        <v>11200506</v>
      </c>
      <c r="M264" s="3">
        <v>11010898.330745</v>
      </c>
      <c r="N264" s="3">
        <v>11010898.330745</v>
      </c>
      <c r="O264" s="6" t="s">
        <v>373</v>
      </c>
      <c r="P264" t="s">
        <v>196</v>
      </c>
      <c r="Q264" s="3">
        <v>82</v>
      </c>
      <c r="R264" s="5">
        <v>0.22777700000000001</v>
      </c>
      <c r="S264" s="6" t="s">
        <v>145</v>
      </c>
      <c r="T264" t="s">
        <v>21</v>
      </c>
    </row>
    <row r="265" spans="1:20" x14ac:dyDescent="0.25">
      <c r="A265" t="s">
        <v>54</v>
      </c>
      <c r="B265" t="s">
        <v>64</v>
      </c>
      <c r="C265" t="s">
        <v>64</v>
      </c>
      <c r="D265" t="s">
        <v>65</v>
      </c>
      <c r="E265" t="s">
        <v>1299</v>
      </c>
      <c r="F265" t="s">
        <v>19</v>
      </c>
      <c r="G265" s="2">
        <v>46099</v>
      </c>
      <c r="H265" s="2">
        <v>46197</v>
      </c>
      <c r="I265" s="3">
        <v>41264627</v>
      </c>
      <c r="J265" t="s">
        <v>20</v>
      </c>
      <c r="K265" s="1">
        <v>46142</v>
      </c>
      <c r="L265" s="3">
        <v>41758565</v>
      </c>
      <c r="M265" s="3">
        <v>41281760.664327003</v>
      </c>
      <c r="N265" s="3">
        <v>41281760.664327003</v>
      </c>
      <c r="O265" s="6" t="s">
        <v>278</v>
      </c>
      <c r="P265" t="s">
        <v>196</v>
      </c>
      <c r="Q265" s="3">
        <v>55</v>
      </c>
      <c r="R265" s="5">
        <v>0.152777</v>
      </c>
      <c r="S265" s="6" t="s">
        <v>145</v>
      </c>
      <c r="T265" t="s">
        <v>21</v>
      </c>
    </row>
    <row r="266" spans="1:20" x14ac:dyDescent="0.25">
      <c r="A266" t="s">
        <v>54</v>
      </c>
      <c r="B266" t="s">
        <v>64</v>
      </c>
      <c r="C266" t="s">
        <v>64</v>
      </c>
      <c r="D266" t="s">
        <v>65</v>
      </c>
      <c r="E266" t="s">
        <v>1345</v>
      </c>
      <c r="F266" t="s">
        <v>19</v>
      </c>
      <c r="G266" s="2">
        <v>46128</v>
      </c>
      <c r="H266" s="2">
        <v>46227</v>
      </c>
      <c r="I266" s="3">
        <v>15910021</v>
      </c>
      <c r="J266" t="s">
        <v>20</v>
      </c>
      <c r="K266" s="1">
        <v>46142</v>
      </c>
      <c r="L266" s="3">
        <v>16240790</v>
      </c>
      <c r="M266" s="3">
        <v>15955975.831409</v>
      </c>
      <c r="N266" s="3">
        <v>15955975.831409</v>
      </c>
      <c r="O266" s="6" t="s">
        <v>147</v>
      </c>
      <c r="P266" t="s">
        <v>196</v>
      </c>
      <c r="Q266" s="3">
        <v>85</v>
      </c>
      <c r="R266" s="5">
        <v>0.23611099999999999</v>
      </c>
      <c r="S266" s="6" t="s">
        <v>145</v>
      </c>
      <c r="T266" t="s">
        <v>21</v>
      </c>
    </row>
    <row r="267" spans="1:20" x14ac:dyDescent="0.25">
      <c r="A267" t="s">
        <v>54</v>
      </c>
      <c r="B267" t="s">
        <v>64</v>
      </c>
      <c r="C267" t="s">
        <v>64</v>
      </c>
      <c r="D267" t="s">
        <v>65</v>
      </c>
      <c r="E267" t="s">
        <v>39</v>
      </c>
      <c r="F267" t="s">
        <v>19</v>
      </c>
      <c r="G267" s="2">
        <v>46063</v>
      </c>
      <c r="H267" s="2">
        <v>46167</v>
      </c>
      <c r="I267" s="3">
        <v>11448729</v>
      </c>
      <c r="J267" t="s">
        <v>20</v>
      </c>
      <c r="K267" s="1">
        <v>46142</v>
      </c>
      <c r="L267" s="3">
        <v>11718614</v>
      </c>
      <c r="M267" s="3">
        <v>11652582.698044</v>
      </c>
      <c r="N267" s="3">
        <v>11652582.698044</v>
      </c>
      <c r="O267" s="6" t="s">
        <v>150</v>
      </c>
      <c r="P267" t="s">
        <v>196</v>
      </c>
      <c r="Q267" s="3">
        <v>25</v>
      </c>
      <c r="R267" s="5">
        <v>6.9444000000000006E-2</v>
      </c>
      <c r="S267" s="6" t="s">
        <v>143</v>
      </c>
      <c r="T267" t="s">
        <v>21</v>
      </c>
    </row>
    <row r="268" spans="1:20" x14ac:dyDescent="0.25">
      <c r="A268" t="s">
        <v>54</v>
      </c>
      <c r="B268" t="s">
        <v>64</v>
      </c>
      <c r="C268" t="s">
        <v>64</v>
      </c>
      <c r="D268" t="s">
        <v>65</v>
      </c>
      <c r="E268" t="s">
        <v>40</v>
      </c>
      <c r="F268" t="s">
        <v>19</v>
      </c>
      <c r="G268" s="2">
        <v>46063</v>
      </c>
      <c r="H268" s="2">
        <v>46168</v>
      </c>
      <c r="I268" s="3">
        <v>9429224</v>
      </c>
      <c r="J268" t="s">
        <v>20</v>
      </c>
      <c r="K268" s="1">
        <v>46142</v>
      </c>
      <c r="L268" s="3">
        <v>9551992</v>
      </c>
      <c r="M268" s="3">
        <v>9500121.3374969997</v>
      </c>
      <c r="N268" s="3">
        <v>9500121.3374969997</v>
      </c>
      <c r="O268" s="6" t="s">
        <v>142</v>
      </c>
      <c r="P268" t="s">
        <v>196</v>
      </c>
      <c r="Q268" s="3">
        <v>26</v>
      </c>
      <c r="R268" s="5">
        <v>7.2221999999999995E-2</v>
      </c>
      <c r="S268" s="6" t="s">
        <v>143</v>
      </c>
      <c r="T268" t="s">
        <v>21</v>
      </c>
    </row>
    <row r="269" spans="1:20" x14ac:dyDescent="0.25">
      <c r="A269" t="s">
        <v>54</v>
      </c>
      <c r="B269" t="s">
        <v>64</v>
      </c>
      <c r="C269" t="s">
        <v>64</v>
      </c>
      <c r="D269" t="s">
        <v>65</v>
      </c>
      <c r="E269" t="s">
        <v>40</v>
      </c>
      <c r="F269" t="s">
        <v>19</v>
      </c>
      <c r="G269" s="2">
        <v>46063</v>
      </c>
      <c r="H269" s="2">
        <v>46168</v>
      </c>
      <c r="I269" s="3">
        <v>28946599</v>
      </c>
      <c r="J269" t="s">
        <v>20</v>
      </c>
      <c r="K269" s="1">
        <v>46142</v>
      </c>
      <c r="L269" s="3">
        <v>29622406</v>
      </c>
      <c r="M269" s="3">
        <v>29448854.086583</v>
      </c>
      <c r="N269" s="3">
        <v>29448854.086583</v>
      </c>
      <c r="O269" s="6" t="s">
        <v>142</v>
      </c>
      <c r="P269" t="s">
        <v>196</v>
      </c>
      <c r="Q269" s="3">
        <v>26</v>
      </c>
      <c r="R269" s="5">
        <v>7.2221999999999995E-2</v>
      </c>
      <c r="S269" s="6" t="s">
        <v>143</v>
      </c>
      <c r="T269" t="s">
        <v>21</v>
      </c>
    </row>
    <row r="270" spans="1:20" x14ac:dyDescent="0.25">
      <c r="A270" t="s">
        <v>54</v>
      </c>
      <c r="B270" t="s">
        <v>64</v>
      </c>
      <c r="C270" t="s">
        <v>64</v>
      </c>
      <c r="D270" t="s">
        <v>65</v>
      </c>
      <c r="E270" t="s">
        <v>41</v>
      </c>
      <c r="F270" t="s">
        <v>19</v>
      </c>
      <c r="G270" s="2">
        <v>46064</v>
      </c>
      <c r="H270" s="2">
        <v>46169</v>
      </c>
      <c r="I270" s="3">
        <v>35025028</v>
      </c>
      <c r="J270" t="s">
        <v>20</v>
      </c>
      <c r="K270" s="1">
        <v>46142</v>
      </c>
      <c r="L270" s="3">
        <v>35842746</v>
      </c>
      <c r="M270" s="3">
        <v>35624722.697094001</v>
      </c>
      <c r="N270" s="3">
        <v>35624722.697094001</v>
      </c>
      <c r="O270" s="6" t="s">
        <v>521</v>
      </c>
      <c r="P270" t="s">
        <v>196</v>
      </c>
      <c r="Q270" s="3">
        <v>27</v>
      </c>
      <c r="R270" s="5">
        <v>7.4999999999999997E-2</v>
      </c>
      <c r="S270" s="6" t="s">
        <v>143</v>
      </c>
      <c r="T270" t="s">
        <v>21</v>
      </c>
    </row>
    <row r="271" spans="1:20" x14ac:dyDescent="0.25">
      <c r="A271" t="s">
        <v>54</v>
      </c>
      <c r="B271" t="s">
        <v>64</v>
      </c>
      <c r="C271" t="s">
        <v>64</v>
      </c>
      <c r="D271" t="s">
        <v>65</v>
      </c>
      <c r="E271" t="s">
        <v>1346</v>
      </c>
      <c r="F271" t="s">
        <v>19</v>
      </c>
      <c r="G271" s="2">
        <v>46129</v>
      </c>
      <c r="H271" s="2">
        <v>46230</v>
      </c>
      <c r="I271" s="3">
        <v>24596016</v>
      </c>
      <c r="J271" t="s">
        <v>20</v>
      </c>
      <c r="K271" s="1">
        <v>46142</v>
      </c>
      <c r="L271" s="3">
        <v>25102202</v>
      </c>
      <c r="M271" s="3">
        <v>24646730.421805002</v>
      </c>
      <c r="N271" s="3">
        <v>24646730.421805002</v>
      </c>
      <c r="O271" s="6" t="s">
        <v>153</v>
      </c>
      <c r="P271" t="s">
        <v>196</v>
      </c>
      <c r="Q271" s="3">
        <v>88</v>
      </c>
      <c r="R271" s="5">
        <v>0.24444399999999999</v>
      </c>
      <c r="S271" s="6" t="s">
        <v>145</v>
      </c>
      <c r="T271" t="s">
        <v>21</v>
      </c>
    </row>
    <row r="272" spans="1:20" x14ac:dyDescent="0.25">
      <c r="A272" t="s">
        <v>54</v>
      </c>
      <c r="B272" t="s">
        <v>64</v>
      </c>
      <c r="C272" t="s">
        <v>64</v>
      </c>
      <c r="D272" t="s">
        <v>65</v>
      </c>
      <c r="E272" t="s">
        <v>29</v>
      </c>
      <c r="F272" t="s">
        <v>19</v>
      </c>
      <c r="G272" s="2">
        <v>46080</v>
      </c>
      <c r="H272" s="2">
        <v>46171</v>
      </c>
      <c r="I272" s="3">
        <v>12508531</v>
      </c>
      <c r="J272" t="s">
        <v>20</v>
      </c>
      <c r="K272" s="1">
        <v>46142</v>
      </c>
      <c r="L272" s="3">
        <v>12766540</v>
      </c>
      <c r="M272" s="3">
        <v>12683169.300465001</v>
      </c>
      <c r="N272" s="3">
        <v>12683169.300465001</v>
      </c>
      <c r="O272" s="6" t="s">
        <v>140</v>
      </c>
      <c r="P272" t="s">
        <v>201</v>
      </c>
      <c r="Q272" s="3">
        <v>29</v>
      </c>
      <c r="R272" s="5">
        <v>8.0555000000000002E-2</v>
      </c>
      <c r="S272" s="6" t="s">
        <v>143</v>
      </c>
      <c r="T272" t="s">
        <v>21</v>
      </c>
    </row>
    <row r="273" spans="1:20" x14ac:dyDescent="0.25">
      <c r="A273" t="s">
        <v>54</v>
      </c>
      <c r="B273" t="s">
        <v>64</v>
      </c>
      <c r="C273" t="s">
        <v>64</v>
      </c>
      <c r="D273" t="s">
        <v>65</v>
      </c>
      <c r="E273" t="s">
        <v>1348</v>
      </c>
      <c r="F273" t="s">
        <v>19</v>
      </c>
      <c r="G273" s="2">
        <v>46134</v>
      </c>
      <c r="H273" s="2">
        <v>46233</v>
      </c>
      <c r="I273" s="3">
        <v>121710278</v>
      </c>
      <c r="J273" t="s">
        <v>20</v>
      </c>
      <c r="K273" s="1">
        <v>46142</v>
      </c>
      <c r="L273" s="3">
        <v>124240635</v>
      </c>
      <c r="M273" s="3">
        <v>121910917.369077</v>
      </c>
      <c r="N273" s="3">
        <v>121910917.369077</v>
      </c>
      <c r="O273" s="6" t="s">
        <v>147</v>
      </c>
      <c r="P273" t="s">
        <v>196</v>
      </c>
      <c r="Q273" s="3">
        <v>91</v>
      </c>
      <c r="R273" s="5">
        <v>0.25277699999999997</v>
      </c>
      <c r="S273" s="6" t="s">
        <v>141</v>
      </c>
      <c r="T273" t="s">
        <v>21</v>
      </c>
    </row>
    <row r="274" spans="1:20" x14ac:dyDescent="0.25">
      <c r="A274" t="s">
        <v>54</v>
      </c>
      <c r="B274" t="s">
        <v>64</v>
      </c>
      <c r="C274" t="s">
        <v>64</v>
      </c>
      <c r="D274" t="s">
        <v>65</v>
      </c>
      <c r="E274" t="s">
        <v>44</v>
      </c>
      <c r="F274" t="s">
        <v>19</v>
      </c>
      <c r="G274" s="2">
        <v>46048</v>
      </c>
      <c r="H274" s="2">
        <v>46147</v>
      </c>
      <c r="I274" s="3">
        <v>7609594</v>
      </c>
      <c r="J274" t="s">
        <v>20</v>
      </c>
      <c r="K274" s="1">
        <v>46142</v>
      </c>
      <c r="L274" s="3">
        <v>7652740</v>
      </c>
      <c r="M274" s="3">
        <v>7644713.0512960004</v>
      </c>
      <c r="N274" s="3">
        <v>7644713.0512960004</v>
      </c>
      <c r="O274" s="6"/>
      <c r="P274" t="s">
        <v>196</v>
      </c>
      <c r="Q274" s="3">
        <v>5</v>
      </c>
      <c r="R274" s="5">
        <v>1.3887999999999999E-2</v>
      </c>
      <c r="S274" s="6" t="s">
        <v>143</v>
      </c>
      <c r="T274" t="s">
        <v>21</v>
      </c>
    </row>
    <row r="275" spans="1:20" x14ac:dyDescent="0.25">
      <c r="A275" t="s">
        <v>54</v>
      </c>
      <c r="B275" t="s">
        <v>64</v>
      </c>
      <c r="C275" t="s">
        <v>64</v>
      </c>
      <c r="D275" t="s">
        <v>65</v>
      </c>
      <c r="E275" t="s">
        <v>57</v>
      </c>
      <c r="F275" t="s">
        <v>19</v>
      </c>
      <c r="G275" s="2">
        <v>46052</v>
      </c>
      <c r="H275" s="2">
        <v>46157</v>
      </c>
      <c r="I275" s="3">
        <v>315217696</v>
      </c>
      <c r="J275" t="s">
        <v>20</v>
      </c>
      <c r="K275" s="1">
        <v>46142</v>
      </c>
      <c r="L275" s="3">
        <v>322719877</v>
      </c>
      <c r="M275" s="3">
        <v>321626347.41877598</v>
      </c>
      <c r="N275" s="3">
        <v>321626347.41877598</v>
      </c>
      <c r="O275" s="6" t="s">
        <v>167</v>
      </c>
      <c r="P275" t="s">
        <v>201</v>
      </c>
      <c r="Q275" s="3">
        <v>15</v>
      </c>
      <c r="R275" s="5">
        <v>4.1666000000000002E-2</v>
      </c>
      <c r="S275" s="6" t="s">
        <v>143</v>
      </c>
      <c r="T275" t="s">
        <v>21</v>
      </c>
    </row>
    <row r="276" spans="1:20" x14ac:dyDescent="0.25">
      <c r="A276" t="s">
        <v>54</v>
      </c>
      <c r="B276" t="s">
        <v>64</v>
      </c>
      <c r="C276" t="s">
        <v>64</v>
      </c>
      <c r="D276" t="s">
        <v>65</v>
      </c>
      <c r="E276" t="s">
        <v>1306</v>
      </c>
      <c r="F276" t="s">
        <v>19</v>
      </c>
      <c r="G276" s="2">
        <v>46091</v>
      </c>
      <c r="H276" s="2">
        <v>46189</v>
      </c>
      <c r="I276" s="3">
        <v>10136000</v>
      </c>
      <c r="J276" t="s">
        <v>20</v>
      </c>
      <c r="K276" s="1">
        <v>46142</v>
      </c>
      <c r="L276" s="3">
        <v>10351221</v>
      </c>
      <c r="M276" s="3">
        <v>10246873.669795999</v>
      </c>
      <c r="N276" s="3">
        <v>10246873.669795999</v>
      </c>
      <c r="O276" s="6"/>
      <c r="P276" t="s">
        <v>196</v>
      </c>
      <c r="Q276" s="3">
        <v>47</v>
      </c>
      <c r="R276" s="5">
        <v>0.130555</v>
      </c>
      <c r="S276" s="6" t="s">
        <v>145</v>
      </c>
      <c r="T276" t="s">
        <v>21</v>
      </c>
    </row>
    <row r="277" spans="1:20" x14ac:dyDescent="0.25">
      <c r="A277" t="s">
        <v>54</v>
      </c>
      <c r="B277" t="s">
        <v>64</v>
      </c>
      <c r="C277" t="s">
        <v>64</v>
      </c>
      <c r="D277" t="s">
        <v>65</v>
      </c>
      <c r="E277" t="s">
        <v>49</v>
      </c>
      <c r="F277" t="s">
        <v>19</v>
      </c>
      <c r="G277" s="2">
        <v>46052</v>
      </c>
      <c r="H277" s="2">
        <v>46160</v>
      </c>
      <c r="I277" s="3">
        <v>9594128</v>
      </c>
      <c r="J277" t="s">
        <v>20</v>
      </c>
      <c r="K277" s="1">
        <v>46142</v>
      </c>
      <c r="L277" s="3">
        <v>9818119</v>
      </c>
      <c r="M277" s="3">
        <v>9778223.8467050008</v>
      </c>
      <c r="N277" s="3">
        <v>9778223.8467050008</v>
      </c>
      <c r="O277" s="6" t="s">
        <v>1355</v>
      </c>
      <c r="P277" t="s">
        <v>1349</v>
      </c>
      <c r="Q277" s="3">
        <v>18</v>
      </c>
      <c r="R277" s="5">
        <v>0.05</v>
      </c>
      <c r="S277" s="6" t="s">
        <v>143</v>
      </c>
      <c r="T277" t="s">
        <v>21</v>
      </c>
    </row>
    <row r="278" spans="1:20" x14ac:dyDescent="0.25">
      <c r="A278" t="s">
        <v>54</v>
      </c>
      <c r="B278" t="s">
        <v>64</v>
      </c>
      <c r="C278" t="s">
        <v>64</v>
      </c>
      <c r="D278" t="s">
        <v>65</v>
      </c>
      <c r="E278" t="s">
        <v>66</v>
      </c>
      <c r="F278" t="s">
        <v>19</v>
      </c>
      <c r="G278" s="2">
        <v>46063</v>
      </c>
      <c r="H278" s="2">
        <v>46168</v>
      </c>
      <c r="I278" s="3">
        <v>6092332</v>
      </c>
      <c r="J278" t="s">
        <v>20</v>
      </c>
      <c r="K278" s="1">
        <v>46142</v>
      </c>
      <c r="L278" s="3">
        <v>6237330</v>
      </c>
      <c r="M278" s="3">
        <v>6200786.6970650004</v>
      </c>
      <c r="N278" s="3">
        <v>6200786.6970650004</v>
      </c>
      <c r="O278" s="6" t="s">
        <v>406</v>
      </c>
      <c r="P278" t="s">
        <v>300</v>
      </c>
      <c r="Q278" s="3">
        <v>26</v>
      </c>
      <c r="R278" s="5">
        <v>7.2221999999999995E-2</v>
      </c>
      <c r="S278" s="6" t="s">
        <v>143</v>
      </c>
      <c r="T278" t="s">
        <v>21</v>
      </c>
    </row>
    <row r="279" spans="1:20" x14ac:dyDescent="0.25">
      <c r="A279" t="s">
        <v>32</v>
      </c>
      <c r="B279" t="s">
        <v>67</v>
      </c>
      <c r="C279" t="s">
        <v>68</v>
      </c>
      <c r="D279" t="s">
        <v>69</v>
      </c>
      <c r="E279" t="s">
        <v>1293</v>
      </c>
      <c r="F279" t="s">
        <v>19</v>
      </c>
      <c r="G279" s="2">
        <v>46108</v>
      </c>
      <c r="H279" s="2">
        <v>46209</v>
      </c>
      <c r="I279" s="3">
        <v>313873325</v>
      </c>
      <c r="J279" t="s">
        <v>20</v>
      </c>
      <c r="K279" s="1">
        <v>46142</v>
      </c>
      <c r="L279" s="3">
        <v>319278224</v>
      </c>
      <c r="M279" s="3">
        <v>314848308.30218798</v>
      </c>
      <c r="N279" s="3">
        <v>314848308.30218798</v>
      </c>
      <c r="O279" s="6" t="s">
        <v>521</v>
      </c>
      <c r="P279" t="s">
        <v>196</v>
      </c>
      <c r="Q279" s="3">
        <v>67</v>
      </c>
      <c r="R279" s="5">
        <v>0.186111</v>
      </c>
      <c r="S279" s="6" t="s">
        <v>145</v>
      </c>
      <c r="T279" t="s">
        <v>21</v>
      </c>
    </row>
    <row r="280" spans="1:20" x14ac:dyDescent="0.25">
      <c r="A280" t="s">
        <v>32</v>
      </c>
      <c r="B280" t="s">
        <v>67</v>
      </c>
      <c r="C280" t="s">
        <v>68</v>
      </c>
      <c r="D280" t="s">
        <v>69</v>
      </c>
      <c r="E280" t="s">
        <v>1295</v>
      </c>
      <c r="F280" t="s">
        <v>19</v>
      </c>
      <c r="G280" s="2">
        <v>46085</v>
      </c>
      <c r="H280" s="2">
        <v>46181</v>
      </c>
      <c r="I280" s="3">
        <v>100739636</v>
      </c>
      <c r="J280" t="s">
        <v>20</v>
      </c>
      <c r="K280" s="1">
        <v>46142</v>
      </c>
      <c r="L280" s="3">
        <v>101882023</v>
      </c>
      <c r="M280" s="3">
        <v>101054387.565836</v>
      </c>
      <c r="N280" s="3">
        <v>101054387.565836</v>
      </c>
      <c r="O280" s="6" t="s">
        <v>278</v>
      </c>
      <c r="P280" t="s">
        <v>196</v>
      </c>
      <c r="Q280" s="3">
        <v>39</v>
      </c>
      <c r="R280" s="5">
        <v>0.108333</v>
      </c>
      <c r="S280" s="6" t="s">
        <v>145</v>
      </c>
      <c r="T280" t="s">
        <v>21</v>
      </c>
    </row>
    <row r="281" spans="1:20" x14ac:dyDescent="0.25">
      <c r="A281" t="s">
        <v>32</v>
      </c>
      <c r="B281" t="s">
        <v>67</v>
      </c>
      <c r="C281" t="s">
        <v>68</v>
      </c>
      <c r="D281" t="s">
        <v>69</v>
      </c>
      <c r="E281" t="s">
        <v>1359</v>
      </c>
      <c r="F281" t="s">
        <v>19</v>
      </c>
      <c r="G281" s="2">
        <v>46135</v>
      </c>
      <c r="H281" s="2">
        <v>46234</v>
      </c>
      <c r="I281" s="3">
        <v>11110181</v>
      </c>
      <c r="J281" t="s">
        <v>20</v>
      </c>
      <c r="K281" s="1">
        <v>46142</v>
      </c>
      <c r="L281" s="3">
        <v>11341162</v>
      </c>
      <c r="M281" s="3">
        <v>11126203.743672</v>
      </c>
      <c r="N281" s="3">
        <v>11126203.743672</v>
      </c>
      <c r="O281" s="6" t="s">
        <v>521</v>
      </c>
      <c r="P281" t="s">
        <v>196</v>
      </c>
      <c r="Q281" s="3">
        <v>92</v>
      </c>
      <c r="R281" s="5">
        <v>0.25555499999999998</v>
      </c>
      <c r="S281" s="6" t="s">
        <v>141</v>
      </c>
      <c r="T281" t="s">
        <v>21</v>
      </c>
    </row>
    <row r="282" spans="1:20" x14ac:dyDescent="0.25">
      <c r="A282" t="s">
        <v>32</v>
      </c>
      <c r="B282" t="s">
        <v>67</v>
      </c>
      <c r="C282" t="s">
        <v>68</v>
      </c>
      <c r="D282" t="s">
        <v>69</v>
      </c>
      <c r="E282" t="s">
        <v>1359</v>
      </c>
      <c r="F282" t="s">
        <v>19</v>
      </c>
      <c r="G282" s="2">
        <v>46135</v>
      </c>
      <c r="H282" s="2">
        <v>46234</v>
      </c>
      <c r="I282" s="3">
        <v>17461712</v>
      </c>
      <c r="J282" t="s">
        <v>20</v>
      </c>
      <c r="K282" s="1">
        <v>46142</v>
      </c>
      <c r="L282" s="3">
        <v>17824741</v>
      </c>
      <c r="M282" s="3">
        <v>17486894.203979</v>
      </c>
      <c r="N282" s="3">
        <v>17486894.203979</v>
      </c>
      <c r="O282" s="6" t="s">
        <v>521</v>
      </c>
      <c r="P282" t="s">
        <v>196</v>
      </c>
      <c r="Q282" s="3">
        <v>92</v>
      </c>
      <c r="R282" s="5">
        <v>0.25555499999999998</v>
      </c>
      <c r="S282" s="6" t="s">
        <v>141</v>
      </c>
      <c r="T282" t="s">
        <v>21</v>
      </c>
    </row>
    <row r="283" spans="1:20" x14ac:dyDescent="0.25">
      <c r="A283" t="s">
        <v>32</v>
      </c>
      <c r="B283" t="s">
        <v>67</v>
      </c>
      <c r="C283" t="s">
        <v>68</v>
      </c>
      <c r="D283" t="s">
        <v>69</v>
      </c>
      <c r="E283" t="s">
        <v>1359</v>
      </c>
      <c r="F283" t="s">
        <v>19</v>
      </c>
      <c r="G283" s="2">
        <v>46135</v>
      </c>
      <c r="H283" s="2">
        <v>46234</v>
      </c>
      <c r="I283" s="3">
        <v>16650929</v>
      </c>
      <c r="J283" t="s">
        <v>20</v>
      </c>
      <c r="K283" s="1">
        <v>46142</v>
      </c>
      <c r="L283" s="3">
        <v>16997102</v>
      </c>
      <c r="M283" s="3">
        <v>16674942.118275</v>
      </c>
      <c r="N283" s="3">
        <v>16674942.118275</v>
      </c>
      <c r="O283" s="6" t="s">
        <v>521</v>
      </c>
      <c r="P283" t="s">
        <v>196</v>
      </c>
      <c r="Q283" s="3">
        <v>92</v>
      </c>
      <c r="R283" s="5">
        <v>0.25555499999999998</v>
      </c>
      <c r="S283" s="6" t="s">
        <v>141</v>
      </c>
      <c r="T283" t="s">
        <v>21</v>
      </c>
    </row>
    <row r="284" spans="1:20" x14ac:dyDescent="0.25">
      <c r="A284" t="s">
        <v>32</v>
      </c>
      <c r="B284" t="s">
        <v>67</v>
      </c>
      <c r="C284" t="s">
        <v>68</v>
      </c>
      <c r="D284" t="s">
        <v>69</v>
      </c>
      <c r="E284" t="s">
        <v>72</v>
      </c>
      <c r="F284" t="s">
        <v>19</v>
      </c>
      <c r="G284" s="2">
        <v>46077</v>
      </c>
      <c r="H284" s="2">
        <v>46175</v>
      </c>
      <c r="I284" s="3">
        <v>1665898033</v>
      </c>
      <c r="J284" t="s">
        <v>20</v>
      </c>
      <c r="K284" s="1">
        <v>46142</v>
      </c>
      <c r="L284" s="3">
        <v>1690386734</v>
      </c>
      <c r="M284" s="3">
        <v>1678752975.877171</v>
      </c>
      <c r="N284" s="3">
        <v>1678752975.877171</v>
      </c>
      <c r="O284" s="6" t="s">
        <v>173</v>
      </c>
      <c r="P284" t="s">
        <v>300</v>
      </c>
      <c r="Q284" s="3">
        <v>33</v>
      </c>
      <c r="R284" s="5">
        <v>9.1665999999999997E-2</v>
      </c>
      <c r="S284" s="6" t="s">
        <v>145</v>
      </c>
      <c r="T284" t="s">
        <v>21</v>
      </c>
    </row>
    <row r="285" spans="1:20" x14ac:dyDescent="0.25">
      <c r="A285" t="s">
        <v>32</v>
      </c>
      <c r="B285" t="s">
        <v>67</v>
      </c>
      <c r="C285" t="s">
        <v>68</v>
      </c>
      <c r="D285" t="s">
        <v>69</v>
      </c>
      <c r="E285" t="s">
        <v>66</v>
      </c>
      <c r="F285" t="s">
        <v>19</v>
      </c>
      <c r="G285" s="2">
        <v>46063</v>
      </c>
      <c r="H285" s="2">
        <v>46168</v>
      </c>
      <c r="I285" s="3">
        <v>15410867</v>
      </c>
      <c r="J285" t="s">
        <v>20</v>
      </c>
      <c r="K285" s="1">
        <v>46142</v>
      </c>
      <c r="L285" s="3">
        <v>15614753</v>
      </c>
      <c r="M285" s="3">
        <v>15529959.421558</v>
      </c>
      <c r="N285" s="3">
        <v>15529959.421558</v>
      </c>
      <c r="O285" s="6" t="s">
        <v>406</v>
      </c>
      <c r="P285" t="s">
        <v>300</v>
      </c>
      <c r="Q285" s="3">
        <v>26</v>
      </c>
      <c r="R285" s="5">
        <v>7.2221999999999995E-2</v>
      </c>
      <c r="S285" s="6" t="s">
        <v>143</v>
      </c>
      <c r="T285" t="s">
        <v>21</v>
      </c>
    </row>
    <row r="286" spans="1:20" x14ac:dyDescent="0.25">
      <c r="A286" t="s">
        <v>32</v>
      </c>
      <c r="B286" t="s">
        <v>73</v>
      </c>
      <c r="C286" t="s">
        <v>74</v>
      </c>
      <c r="D286" t="s">
        <v>75</v>
      </c>
      <c r="E286" t="s">
        <v>22</v>
      </c>
      <c r="F286" t="s">
        <v>19</v>
      </c>
      <c r="G286" s="2">
        <v>46043</v>
      </c>
      <c r="H286" s="2">
        <v>46146</v>
      </c>
      <c r="I286" s="3">
        <v>16438286</v>
      </c>
      <c r="J286" t="s">
        <v>20</v>
      </c>
      <c r="K286" s="1">
        <v>46142</v>
      </c>
      <c r="L286" s="3">
        <v>16617792</v>
      </c>
      <c r="M286" s="3">
        <v>16603844.770393001</v>
      </c>
      <c r="N286" s="3">
        <v>16603844.770393001</v>
      </c>
      <c r="O286" s="6"/>
      <c r="P286" t="s">
        <v>196</v>
      </c>
      <c r="Q286" s="3">
        <v>4</v>
      </c>
      <c r="R286" s="5">
        <v>1.1110999999999999E-2</v>
      </c>
      <c r="S286" s="6" t="s">
        <v>143</v>
      </c>
      <c r="T286" t="s">
        <v>21</v>
      </c>
    </row>
    <row r="287" spans="1:20" x14ac:dyDescent="0.25">
      <c r="A287" t="s">
        <v>32</v>
      </c>
      <c r="B287" t="s">
        <v>73</v>
      </c>
      <c r="C287" t="s">
        <v>74</v>
      </c>
      <c r="D287" t="s">
        <v>75</v>
      </c>
      <c r="E287" t="s">
        <v>22</v>
      </c>
      <c r="F287" t="s">
        <v>19</v>
      </c>
      <c r="G287" s="2">
        <v>46043</v>
      </c>
      <c r="H287" s="2">
        <v>46146</v>
      </c>
      <c r="I287" s="3">
        <v>2542586</v>
      </c>
      <c r="J287" t="s">
        <v>20</v>
      </c>
      <c r="K287" s="1">
        <v>46142</v>
      </c>
      <c r="L287" s="3">
        <v>2570351</v>
      </c>
      <c r="M287" s="3">
        <v>2568193.7172770002</v>
      </c>
      <c r="N287" s="3">
        <v>2568193.7172770002</v>
      </c>
      <c r="O287" s="6"/>
      <c r="P287" t="s">
        <v>196</v>
      </c>
      <c r="Q287" s="3">
        <v>4</v>
      </c>
      <c r="R287" s="5">
        <v>1.1110999999999999E-2</v>
      </c>
      <c r="S287" s="6" t="s">
        <v>143</v>
      </c>
      <c r="T287" t="s">
        <v>21</v>
      </c>
    </row>
    <row r="288" spans="1:20" x14ac:dyDescent="0.25">
      <c r="A288" t="s">
        <v>32</v>
      </c>
      <c r="B288" t="s">
        <v>73</v>
      </c>
      <c r="C288" t="s">
        <v>74</v>
      </c>
      <c r="D288" t="s">
        <v>75</v>
      </c>
      <c r="E288" t="s">
        <v>1364</v>
      </c>
      <c r="F288" t="s">
        <v>19</v>
      </c>
      <c r="G288" s="2">
        <v>46141</v>
      </c>
      <c r="H288" s="2">
        <v>46241</v>
      </c>
      <c r="I288" s="3">
        <v>168183749</v>
      </c>
      <c r="J288" t="s">
        <v>20</v>
      </c>
      <c r="K288" s="1">
        <v>46142</v>
      </c>
      <c r="L288" s="3">
        <v>171715608</v>
      </c>
      <c r="M288" s="3">
        <v>168218348.533979</v>
      </c>
      <c r="N288" s="3">
        <v>168218348.533979</v>
      </c>
      <c r="O288" s="6" t="s">
        <v>185</v>
      </c>
      <c r="P288" t="s">
        <v>196</v>
      </c>
      <c r="Q288" s="3">
        <v>99</v>
      </c>
      <c r="R288" s="5">
        <v>0.27500000000000002</v>
      </c>
      <c r="S288" s="6" t="s">
        <v>141</v>
      </c>
      <c r="T288" t="s">
        <v>21</v>
      </c>
    </row>
    <row r="289" spans="1:20" x14ac:dyDescent="0.25">
      <c r="A289" t="s">
        <v>32</v>
      </c>
      <c r="B289" t="s">
        <v>73</v>
      </c>
      <c r="C289" t="s">
        <v>74</v>
      </c>
      <c r="D289" t="s">
        <v>75</v>
      </c>
      <c r="E289" t="s">
        <v>25</v>
      </c>
      <c r="F289" t="s">
        <v>19</v>
      </c>
      <c r="G289" s="2">
        <v>46051</v>
      </c>
      <c r="H289" s="2">
        <v>46156</v>
      </c>
      <c r="I289" s="3">
        <v>13214788</v>
      </c>
      <c r="J289" t="s">
        <v>20</v>
      </c>
      <c r="K289" s="1">
        <v>46142</v>
      </c>
      <c r="L289" s="3">
        <v>13386845</v>
      </c>
      <c r="M289" s="3">
        <v>13347603.047041999</v>
      </c>
      <c r="N289" s="3">
        <v>13347603.047041999</v>
      </c>
      <c r="O289" s="6" t="s">
        <v>452</v>
      </c>
      <c r="P289" t="s">
        <v>196</v>
      </c>
      <c r="Q289" s="3">
        <v>14</v>
      </c>
      <c r="R289" s="5">
        <v>3.8887999999999999E-2</v>
      </c>
      <c r="S289" s="6" t="s">
        <v>143</v>
      </c>
      <c r="T289" t="s">
        <v>21</v>
      </c>
    </row>
    <row r="290" spans="1:20" x14ac:dyDescent="0.25">
      <c r="A290" t="s">
        <v>32</v>
      </c>
      <c r="B290" t="s">
        <v>73</v>
      </c>
      <c r="C290" t="s">
        <v>74</v>
      </c>
      <c r="D290" t="s">
        <v>75</v>
      </c>
      <c r="E290" t="s">
        <v>26</v>
      </c>
      <c r="F290" t="s">
        <v>19</v>
      </c>
      <c r="G290" s="2">
        <v>46052</v>
      </c>
      <c r="H290" s="2">
        <v>46157</v>
      </c>
      <c r="I290" s="3">
        <v>2167846</v>
      </c>
      <c r="J290" t="s">
        <v>20</v>
      </c>
      <c r="K290" s="1">
        <v>46142</v>
      </c>
      <c r="L290" s="3">
        <v>2196527</v>
      </c>
      <c r="M290" s="3">
        <v>2189629.6665500002</v>
      </c>
      <c r="N290" s="3">
        <v>2189629.6665500002</v>
      </c>
      <c r="O290" s="6" t="s">
        <v>521</v>
      </c>
      <c r="P290" t="s">
        <v>196</v>
      </c>
      <c r="Q290" s="3">
        <v>15</v>
      </c>
      <c r="R290" s="5">
        <v>4.1666000000000002E-2</v>
      </c>
      <c r="S290" s="6" t="s">
        <v>143</v>
      </c>
      <c r="T290" t="s">
        <v>21</v>
      </c>
    </row>
    <row r="291" spans="1:20" x14ac:dyDescent="0.25">
      <c r="A291" t="s">
        <v>32</v>
      </c>
      <c r="B291" t="s">
        <v>73</v>
      </c>
      <c r="C291" t="s">
        <v>74</v>
      </c>
      <c r="D291" t="s">
        <v>75</v>
      </c>
      <c r="E291" t="s">
        <v>27</v>
      </c>
      <c r="F291" t="s">
        <v>19</v>
      </c>
      <c r="G291" s="2">
        <v>46052</v>
      </c>
      <c r="H291" s="2">
        <v>46160</v>
      </c>
      <c r="I291" s="3">
        <v>32593080</v>
      </c>
      <c r="J291" t="s">
        <v>20</v>
      </c>
      <c r="K291" s="1">
        <v>46142</v>
      </c>
      <c r="L291" s="3">
        <v>33044820</v>
      </c>
      <c r="M291" s="3">
        <v>32920380.959971</v>
      </c>
      <c r="N291" s="3">
        <v>32920380.959971</v>
      </c>
      <c r="O291" s="6" t="s">
        <v>452</v>
      </c>
      <c r="P291" t="s">
        <v>196</v>
      </c>
      <c r="Q291" s="3">
        <v>18</v>
      </c>
      <c r="R291" s="5">
        <v>0.05</v>
      </c>
      <c r="S291" s="6" t="s">
        <v>143</v>
      </c>
      <c r="T291" t="s">
        <v>21</v>
      </c>
    </row>
    <row r="292" spans="1:20" x14ac:dyDescent="0.25">
      <c r="A292" t="s">
        <v>32</v>
      </c>
      <c r="B292" t="s">
        <v>73</v>
      </c>
      <c r="C292" t="s">
        <v>74</v>
      </c>
      <c r="D292" t="s">
        <v>75</v>
      </c>
      <c r="E292" t="s">
        <v>1297</v>
      </c>
      <c r="F292" t="s">
        <v>19</v>
      </c>
      <c r="G292" s="2">
        <v>46093</v>
      </c>
      <c r="H292" s="2">
        <v>46191</v>
      </c>
      <c r="I292" s="3">
        <v>3230757</v>
      </c>
      <c r="J292" t="s">
        <v>20</v>
      </c>
      <c r="K292" s="1">
        <v>46142</v>
      </c>
      <c r="L292" s="3">
        <v>3297246</v>
      </c>
      <c r="M292" s="3">
        <v>3263662.9086699998</v>
      </c>
      <c r="N292" s="3">
        <v>3263662.9086699998</v>
      </c>
      <c r="O292" s="6" t="s">
        <v>454</v>
      </c>
      <c r="P292" t="s">
        <v>196</v>
      </c>
      <c r="Q292" s="3">
        <v>49</v>
      </c>
      <c r="R292" s="5">
        <v>0.13611100000000001</v>
      </c>
      <c r="S292" s="6" t="s">
        <v>145</v>
      </c>
      <c r="T292" t="s">
        <v>21</v>
      </c>
    </row>
    <row r="293" spans="1:20" x14ac:dyDescent="0.25">
      <c r="A293" t="s">
        <v>32</v>
      </c>
      <c r="B293" t="s">
        <v>73</v>
      </c>
      <c r="C293" t="s">
        <v>74</v>
      </c>
      <c r="D293" t="s">
        <v>75</v>
      </c>
      <c r="E293" t="s">
        <v>71</v>
      </c>
      <c r="F293" t="s">
        <v>19</v>
      </c>
      <c r="G293" s="2">
        <v>46062</v>
      </c>
      <c r="H293" s="2">
        <v>46162</v>
      </c>
      <c r="I293" s="3">
        <v>33850850</v>
      </c>
      <c r="J293" t="s">
        <v>20</v>
      </c>
      <c r="K293" s="1">
        <v>46142</v>
      </c>
      <c r="L293" s="3">
        <v>34334240</v>
      </c>
      <c r="M293" s="3">
        <v>34190639.314878002</v>
      </c>
      <c r="N293" s="3">
        <v>34190639.314878002</v>
      </c>
      <c r="O293" s="6" t="s">
        <v>1341</v>
      </c>
      <c r="P293" t="s">
        <v>196</v>
      </c>
      <c r="Q293" s="3">
        <v>20</v>
      </c>
      <c r="R293" s="5">
        <v>5.5555E-2</v>
      </c>
      <c r="S293" s="6" t="s">
        <v>143</v>
      </c>
      <c r="T293" t="s">
        <v>21</v>
      </c>
    </row>
    <row r="294" spans="1:20" x14ac:dyDescent="0.25">
      <c r="A294" t="s">
        <v>32</v>
      </c>
      <c r="B294" t="s">
        <v>73</v>
      </c>
      <c r="C294" t="s">
        <v>74</v>
      </c>
      <c r="D294" t="s">
        <v>75</v>
      </c>
      <c r="E294" t="s">
        <v>1298</v>
      </c>
      <c r="F294" t="s">
        <v>19</v>
      </c>
      <c r="G294" s="2">
        <v>46098</v>
      </c>
      <c r="H294" s="2">
        <v>46196</v>
      </c>
      <c r="I294" s="3">
        <v>2072732</v>
      </c>
      <c r="J294" t="s">
        <v>20</v>
      </c>
      <c r="K294" s="1">
        <v>46142</v>
      </c>
      <c r="L294" s="3">
        <v>2115389</v>
      </c>
      <c r="M294" s="3">
        <v>2091669.46823</v>
      </c>
      <c r="N294" s="3">
        <v>2091669.46823</v>
      </c>
      <c r="O294" s="6" t="s">
        <v>248</v>
      </c>
      <c r="P294" t="s">
        <v>196</v>
      </c>
      <c r="Q294" s="3">
        <v>54</v>
      </c>
      <c r="R294" s="5">
        <v>0.15</v>
      </c>
      <c r="S294" s="6" t="s">
        <v>145</v>
      </c>
      <c r="T294" t="s">
        <v>21</v>
      </c>
    </row>
    <row r="295" spans="1:20" x14ac:dyDescent="0.25">
      <c r="A295" t="s">
        <v>32</v>
      </c>
      <c r="B295" t="s">
        <v>73</v>
      </c>
      <c r="C295" t="s">
        <v>74</v>
      </c>
      <c r="D295" t="s">
        <v>75</v>
      </c>
      <c r="E295" t="s">
        <v>1299</v>
      </c>
      <c r="F295" t="s">
        <v>19</v>
      </c>
      <c r="G295" s="2">
        <v>46099</v>
      </c>
      <c r="H295" s="2">
        <v>46197</v>
      </c>
      <c r="I295" s="3">
        <v>17123121</v>
      </c>
      <c r="J295" t="s">
        <v>20</v>
      </c>
      <c r="K295" s="1">
        <v>46142</v>
      </c>
      <c r="L295" s="3">
        <v>17475515</v>
      </c>
      <c r="M295" s="3">
        <v>17275977.460333001</v>
      </c>
      <c r="N295" s="3">
        <v>17275977.460333001</v>
      </c>
      <c r="O295" s="6" t="s">
        <v>278</v>
      </c>
      <c r="P295" t="s">
        <v>196</v>
      </c>
      <c r="Q295" s="3">
        <v>55</v>
      </c>
      <c r="R295" s="5">
        <v>0.152777</v>
      </c>
      <c r="S295" s="6" t="s">
        <v>145</v>
      </c>
      <c r="T295" t="s">
        <v>21</v>
      </c>
    </row>
    <row r="296" spans="1:20" x14ac:dyDescent="0.25">
      <c r="A296" t="s">
        <v>32</v>
      </c>
      <c r="B296" t="s">
        <v>73</v>
      </c>
      <c r="C296" t="s">
        <v>74</v>
      </c>
      <c r="D296" t="s">
        <v>75</v>
      </c>
      <c r="E296" t="s">
        <v>1299</v>
      </c>
      <c r="F296" t="s">
        <v>19</v>
      </c>
      <c r="G296" s="2">
        <v>46099</v>
      </c>
      <c r="H296" s="2">
        <v>46197</v>
      </c>
      <c r="I296" s="3">
        <v>4385085</v>
      </c>
      <c r="J296" t="s">
        <v>20</v>
      </c>
      <c r="K296" s="1">
        <v>46142</v>
      </c>
      <c r="L296" s="3">
        <v>4475330</v>
      </c>
      <c r="M296" s="3">
        <v>4424230.1418610001</v>
      </c>
      <c r="N296" s="3">
        <v>4424230.1418610001</v>
      </c>
      <c r="O296" s="6" t="s">
        <v>278</v>
      </c>
      <c r="P296" t="s">
        <v>196</v>
      </c>
      <c r="Q296" s="3">
        <v>55</v>
      </c>
      <c r="R296" s="5">
        <v>0.152777</v>
      </c>
      <c r="S296" s="6" t="s">
        <v>145</v>
      </c>
      <c r="T296" t="s">
        <v>21</v>
      </c>
    </row>
    <row r="297" spans="1:20" x14ac:dyDescent="0.25">
      <c r="A297" t="s">
        <v>32</v>
      </c>
      <c r="B297" t="s">
        <v>73</v>
      </c>
      <c r="C297" t="s">
        <v>74</v>
      </c>
      <c r="D297" t="s">
        <v>75</v>
      </c>
      <c r="E297" t="s">
        <v>1300</v>
      </c>
      <c r="F297" t="s">
        <v>19</v>
      </c>
      <c r="G297" s="2">
        <v>46100</v>
      </c>
      <c r="H297" s="2">
        <v>46198</v>
      </c>
      <c r="I297" s="3">
        <v>45470156</v>
      </c>
      <c r="J297" t="s">
        <v>20</v>
      </c>
      <c r="K297" s="1">
        <v>46142</v>
      </c>
      <c r="L297" s="3">
        <v>46405932</v>
      </c>
      <c r="M297" s="3">
        <v>45866541.472286001</v>
      </c>
      <c r="N297" s="3">
        <v>45866541.472286001</v>
      </c>
      <c r="O297" s="6" t="s">
        <v>251</v>
      </c>
      <c r="P297" t="s">
        <v>196</v>
      </c>
      <c r="Q297" s="3">
        <v>56</v>
      </c>
      <c r="R297" s="5">
        <v>0.155555</v>
      </c>
      <c r="S297" s="6" t="s">
        <v>145</v>
      </c>
      <c r="T297" t="s">
        <v>21</v>
      </c>
    </row>
    <row r="298" spans="1:20" x14ac:dyDescent="0.25">
      <c r="A298" t="s">
        <v>32</v>
      </c>
      <c r="B298" t="s">
        <v>73</v>
      </c>
      <c r="C298" t="s">
        <v>74</v>
      </c>
      <c r="D298" t="s">
        <v>75</v>
      </c>
      <c r="E298" t="s">
        <v>1300</v>
      </c>
      <c r="F298" t="s">
        <v>19</v>
      </c>
      <c r="G298" s="2">
        <v>46100</v>
      </c>
      <c r="H298" s="2">
        <v>46198</v>
      </c>
      <c r="I298" s="3">
        <v>2831541</v>
      </c>
      <c r="J298" t="s">
        <v>20</v>
      </c>
      <c r="K298" s="1">
        <v>46142</v>
      </c>
      <c r="L298" s="3">
        <v>2889814</v>
      </c>
      <c r="M298" s="3">
        <v>2856224.7963939998</v>
      </c>
      <c r="N298" s="3">
        <v>2856224.7963939998</v>
      </c>
      <c r="O298" s="6" t="s">
        <v>251</v>
      </c>
      <c r="P298" t="s">
        <v>196</v>
      </c>
      <c r="Q298" s="3">
        <v>56</v>
      </c>
      <c r="R298" s="5">
        <v>0.155555</v>
      </c>
      <c r="S298" s="6" t="s">
        <v>145</v>
      </c>
      <c r="T298" t="s">
        <v>21</v>
      </c>
    </row>
    <row r="299" spans="1:20" x14ac:dyDescent="0.25">
      <c r="A299" t="s">
        <v>32</v>
      </c>
      <c r="B299" t="s">
        <v>73</v>
      </c>
      <c r="C299" t="s">
        <v>74</v>
      </c>
      <c r="D299" t="s">
        <v>75</v>
      </c>
      <c r="E299" t="s">
        <v>1346</v>
      </c>
      <c r="F299" t="s">
        <v>19</v>
      </c>
      <c r="G299" s="2">
        <v>46129</v>
      </c>
      <c r="H299" s="2">
        <v>46230</v>
      </c>
      <c r="I299" s="3">
        <v>3182474</v>
      </c>
      <c r="J299" t="s">
        <v>20</v>
      </c>
      <c r="K299" s="1">
        <v>46142</v>
      </c>
      <c r="L299" s="3">
        <v>3249974</v>
      </c>
      <c r="M299" s="3">
        <v>3191004.2416150002</v>
      </c>
      <c r="N299" s="3">
        <v>3191004.2416150002</v>
      </c>
      <c r="O299" s="6" t="s">
        <v>153</v>
      </c>
      <c r="P299" t="s">
        <v>196</v>
      </c>
      <c r="Q299" s="3">
        <v>88</v>
      </c>
      <c r="R299" s="5">
        <v>0.24444399999999999</v>
      </c>
      <c r="S299" s="6" t="s">
        <v>145</v>
      </c>
      <c r="T299" t="s">
        <v>21</v>
      </c>
    </row>
    <row r="300" spans="1:20" x14ac:dyDescent="0.25">
      <c r="A300" t="s">
        <v>32</v>
      </c>
      <c r="B300" t="s">
        <v>73</v>
      </c>
      <c r="C300" t="s">
        <v>74</v>
      </c>
      <c r="D300" t="s">
        <v>75</v>
      </c>
      <c r="E300" t="s">
        <v>1347</v>
      </c>
      <c r="F300" t="s">
        <v>19</v>
      </c>
      <c r="G300" s="2">
        <v>46133</v>
      </c>
      <c r="H300" s="2">
        <v>46232</v>
      </c>
      <c r="I300" s="3">
        <v>3259573</v>
      </c>
      <c r="J300" t="s">
        <v>20</v>
      </c>
      <c r="K300" s="1">
        <v>46142</v>
      </c>
      <c r="L300" s="3">
        <v>3327340</v>
      </c>
      <c r="M300" s="3">
        <v>3265619.7860440002</v>
      </c>
      <c r="N300" s="3">
        <v>3265619.7860440002</v>
      </c>
      <c r="O300" s="6" t="s">
        <v>153</v>
      </c>
      <c r="P300" t="s">
        <v>196</v>
      </c>
      <c r="Q300" s="3">
        <v>90</v>
      </c>
      <c r="R300" s="5">
        <v>0.25</v>
      </c>
      <c r="S300" s="6" t="s">
        <v>145</v>
      </c>
      <c r="T300" t="s">
        <v>21</v>
      </c>
    </row>
    <row r="301" spans="1:20" x14ac:dyDescent="0.25">
      <c r="A301" t="s">
        <v>32</v>
      </c>
      <c r="B301" t="s">
        <v>73</v>
      </c>
      <c r="C301" t="s">
        <v>74</v>
      </c>
      <c r="D301" t="s">
        <v>75</v>
      </c>
      <c r="E301" t="s">
        <v>1348</v>
      </c>
      <c r="F301" t="s">
        <v>19</v>
      </c>
      <c r="G301" s="2">
        <v>46134</v>
      </c>
      <c r="H301" s="2">
        <v>46233</v>
      </c>
      <c r="I301" s="3">
        <v>2177897</v>
      </c>
      <c r="J301" t="s">
        <v>20</v>
      </c>
      <c r="K301" s="1">
        <v>46142</v>
      </c>
      <c r="L301" s="3">
        <v>2223175</v>
      </c>
      <c r="M301" s="3">
        <v>2181486.7874909998</v>
      </c>
      <c r="N301" s="3">
        <v>2181486.7874909998</v>
      </c>
      <c r="O301" s="6" t="s">
        <v>147</v>
      </c>
      <c r="P301" t="s">
        <v>196</v>
      </c>
      <c r="Q301" s="3">
        <v>91</v>
      </c>
      <c r="R301" s="5">
        <v>0.25277699999999997</v>
      </c>
      <c r="S301" s="6" t="s">
        <v>141</v>
      </c>
      <c r="T301" t="s">
        <v>21</v>
      </c>
    </row>
    <row r="302" spans="1:20" x14ac:dyDescent="0.25">
      <c r="A302" t="s">
        <v>32</v>
      </c>
      <c r="B302" t="s">
        <v>73</v>
      </c>
      <c r="C302" t="s">
        <v>74</v>
      </c>
      <c r="D302" t="s">
        <v>75</v>
      </c>
      <c r="E302" t="s">
        <v>1361</v>
      </c>
      <c r="F302" t="s">
        <v>19</v>
      </c>
      <c r="G302" s="2">
        <v>46141</v>
      </c>
      <c r="H302" s="2">
        <v>46241</v>
      </c>
      <c r="I302" s="3">
        <v>80284621</v>
      </c>
      <c r="J302" t="s">
        <v>20</v>
      </c>
      <c r="K302" s="1">
        <v>46142</v>
      </c>
      <c r="L302" s="3">
        <v>81970598</v>
      </c>
      <c r="M302" s="3">
        <v>80301137.354402006</v>
      </c>
      <c r="N302" s="3">
        <v>80301137.354402006</v>
      </c>
      <c r="O302" s="6" t="s">
        <v>1362</v>
      </c>
      <c r="P302" t="s">
        <v>226</v>
      </c>
      <c r="Q302" s="3">
        <v>99</v>
      </c>
      <c r="R302" s="5">
        <v>0.27500000000000002</v>
      </c>
      <c r="S302" s="6" t="s">
        <v>141</v>
      </c>
      <c r="T302" t="s">
        <v>21</v>
      </c>
    </row>
    <row r="303" spans="1:20" x14ac:dyDescent="0.25">
      <c r="A303" t="s">
        <v>32</v>
      </c>
      <c r="B303" t="s">
        <v>73</v>
      </c>
      <c r="C303" t="s">
        <v>74</v>
      </c>
      <c r="D303" t="s">
        <v>75</v>
      </c>
      <c r="E303" t="s">
        <v>47</v>
      </c>
      <c r="F303" t="s">
        <v>19</v>
      </c>
      <c r="G303" s="2">
        <v>46052</v>
      </c>
      <c r="H303" s="2">
        <v>46155</v>
      </c>
      <c r="I303" s="3">
        <v>40000000</v>
      </c>
      <c r="J303" t="s">
        <v>20</v>
      </c>
      <c r="K303" s="1">
        <v>46142</v>
      </c>
      <c r="L303" s="3">
        <v>40252000</v>
      </c>
      <c r="M303" s="3">
        <v>40142411.217377</v>
      </c>
      <c r="N303" s="3">
        <v>40142411.217377</v>
      </c>
      <c r="O303" s="6" t="s">
        <v>1282</v>
      </c>
      <c r="P303" t="s">
        <v>201</v>
      </c>
      <c r="Q303" s="3">
        <v>13</v>
      </c>
      <c r="R303" s="5">
        <v>3.6110999999999997E-2</v>
      </c>
      <c r="S303" s="6" t="s">
        <v>143</v>
      </c>
      <c r="T303" t="s">
        <v>21</v>
      </c>
    </row>
    <row r="304" spans="1:20" x14ac:dyDescent="0.25">
      <c r="A304" t="s">
        <v>32</v>
      </c>
      <c r="B304" t="s">
        <v>73</v>
      </c>
      <c r="C304" t="s">
        <v>74</v>
      </c>
      <c r="D304" t="s">
        <v>75</v>
      </c>
      <c r="E304" t="s">
        <v>57</v>
      </c>
      <c r="F304" t="s">
        <v>19</v>
      </c>
      <c r="G304" s="2">
        <v>46052</v>
      </c>
      <c r="H304" s="2">
        <v>46157</v>
      </c>
      <c r="I304" s="3">
        <v>23438225</v>
      </c>
      <c r="J304" t="s">
        <v>20</v>
      </c>
      <c r="K304" s="1">
        <v>46142</v>
      </c>
      <c r="L304" s="3">
        <v>23748313</v>
      </c>
      <c r="M304" s="3">
        <v>23673740.716742001</v>
      </c>
      <c r="N304" s="3">
        <v>23673740.716742001</v>
      </c>
      <c r="O304" s="6" t="s">
        <v>167</v>
      </c>
      <c r="P304" t="s">
        <v>201</v>
      </c>
      <c r="Q304" s="3">
        <v>15</v>
      </c>
      <c r="R304" s="5">
        <v>4.1666000000000002E-2</v>
      </c>
      <c r="S304" s="6" t="s">
        <v>143</v>
      </c>
      <c r="T304" t="s">
        <v>21</v>
      </c>
    </row>
    <row r="305" spans="1:20" x14ac:dyDescent="0.25">
      <c r="A305" t="s">
        <v>32</v>
      </c>
      <c r="B305" t="s">
        <v>73</v>
      </c>
      <c r="C305" t="s">
        <v>74</v>
      </c>
      <c r="D305" t="s">
        <v>75</v>
      </c>
      <c r="E305" t="s">
        <v>1308</v>
      </c>
      <c r="F305" t="s">
        <v>19</v>
      </c>
      <c r="G305" s="2">
        <v>46093</v>
      </c>
      <c r="H305" s="2">
        <v>46191</v>
      </c>
      <c r="I305" s="3">
        <v>131834093</v>
      </c>
      <c r="J305" t="s">
        <v>20</v>
      </c>
      <c r="K305" s="1">
        <v>46142</v>
      </c>
      <c r="L305" s="3">
        <v>134547239</v>
      </c>
      <c r="M305" s="3">
        <v>133176849.22151101</v>
      </c>
      <c r="N305" s="3">
        <v>133176849.22151101</v>
      </c>
      <c r="O305" s="6" t="s">
        <v>301</v>
      </c>
      <c r="P305" t="s">
        <v>201</v>
      </c>
      <c r="Q305" s="3">
        <v>49</v>
      </c>
      <c r="R305" s="5">
        <v>0.13611100000000001</v>
      </c>
      <c r="S305" s="6" t="s">
        <v>145</v>
      </c>
      <c r="T305" t="s">
        <v>21</v>
      </c>
    </row>
    <row r="306" spans="1:20" x14ac:dyDescent="0.25">
      <c r="A306" t="s">
        <v>32</v>
      </c>
      <c r="B306" t="s">
        <v>73</v>
      </c>
      <c r="C306" t="s">
        <v>74</v>
      </c>
      <c r="D306" t="s">
        <v>75</v>
      </c>
      <c r="E306" t="s">
        <v>1357</v>
      </c>
      <c r="F306" t="s">
        <v>19</v>
      </c>
      <c r="G306" s="2">
        <v>46128</v>
      </c>
      <c r="H306" s="2">
        <v>46227</v>
      </c>
      <c r="I306" s="3">
        <v>141000000</v>
      </c>
      <c r="J306" t="s">
        <v>20</v>
      </c>
      <c r="K306" s="1">
        <v>46142</v>
      </c>
      <c r="L306" s="3">
        <v>143546460</v>
      </c>
      <c r="M306" s="3">
        <v>141029090.730461</v>
      </c>
      <c r="N306" s="3">
        <v>141029090.730461</v>
      </c>
      <c r="O306" s="6"/>
      <c r="P306" t="s">
        <v>196</v>
      </c>
      <c r="Q306" s="3">
        <v>85</v>
      </c>
      <c r="R306" s="5">
        <v>0.23611099999999999</v>
      </c>
      <c r="S306" s="6" t="s">
        <v>145</v>
      </c>
      <c r="T306" t="s">
        <v>21</v>
      </c>
    </row>
    <row r="307" spans="1:20" x14ac:dyDescent="0.25">
      <c r="A307" t="s">
        <v>32</v>
      </c>
      <c r="B307" t="s">
        <v>73</v>
      </c>
      <c r="C307" t="s">
        <v>74</v>
      </c>
      <c r="D307" t="s">
        <v>75</v>
      </c>
      <c r="E307" t="s">
        <v>1335</v>
      </c>
      <c r="F307" t="s">
        <v>19</v>
      </c>
      <c r="G307" s="2">
        <v>46129</v>
      </c>
      <c r="H307" s="2">
        <v>46230</v>
      </c>
      <c r="I307" s="3">
        <v>20130200</v>
      </c>
      <c r="J307" t="s">
        <v>20</v>
      </c>
      <c r="K307" s="1">
        <v>46142</v>
      </c>
      <c r="L307" s="3">
        <v>20544480</v>
      </c>
      <c r="M307" s="3">
        <v>20171706.857278001</v>
      </c>
      <c r="N307" s="3">
        <v>20171706.857278001</v>
      </c>
      <c r="O307" s="6" t="s">
        <v>1336</v>
      </c>
      <c r="P307" t="s">
        <v>196</v>
      </c>
      <c r="Q307" s="3">
        <v>88</v>
      </c>
      <c r="R307" s="5">
        <v>0.24444399999999999</v>
      </c>
      <c r="S307" s="6" t="s">
        <v>145</v>
      </c>
      <c r="T307" t="s">
        <v>21</v>
      </c>
    </row>
    <row r="308" spans="1:20" x14ac:dyDescent="0.25">
      <c r="A308" t="s">
        <v>32</v>
      </c>
      <c r="B308" t="s">
        <v>73</v>
      </c>
      <c r="C308" t="s">
        <v>74</v>
      </c>
      <c r="D308" t="s">
        <v>75</v>
      </c>
      <c r="E308" t="s">
        <v>76</v>
      </c>
      <c r="F308" t="s">
        <v>19</v>
      </c>
      <c r="G308" s="2">
        <v>46080</v>
      </c>
      <c r="H308" s="2">
        <v>46171</v>
      </c>
      <c r="I308" s="3">
        <v>14078410</v>
      </c>
      <c r="J308" t="s">
        <v>20</v>
      </c>
      <c r="K308" s="1">
        <v>46142</v>
      </c>
      <c r="L308" s="3">
        <v>14306058</v>
      </c>
      <c r="M308" s="3">
        <v>14219461.479589</v>
      </c>
      <c r="N308" s="3">
        <v>14219461.479589</v>
      </c>
      <c r="O308" s="6" t="s">
        <v>268</v>
      </c>
      <c r="P308" t="s">
        <v>201</v>
      </c>
      <c r="Q308" s="3">
        <v>29</v>
      </c>
      <c r="R308" s="5">
        <v>8.0555000000000002E-2</v>
      </c>
      <c r="S308" s="6" t="s">
        <v>143</v>
      </c>
      <c r="T308" t="s">
        <v>21</v>
      </c>
    </row>
    <row r="309" spans="1:20" x14ac:dyDescent="0.25">
      <c r="A309" t="s">
        <v>32</v>
      </c>
      <c r="B309" t="s">
        <v>77</v>
      </c>
      <c r="C309" t="s">
        <v>78</v>
      </c>
      <c r="D309" t="s">
        <v>79</v>
      </c>
      <c r="E309" t="s">
        <v>30</v>
      </c>
      <c r="F309" t="s">
        <v>19</v>
      </c>
      <c r="G309" s="2">
        <v>46076</v>
      </c>
      <c r="H309" s="2">
        <v>46174</v>
      </c>
      <c r="I309" s="3">
        <v>16487713</v>
      </c>
      <c r="J309" t="s">
        <v>20</v>
      </c>
      <c r="K309" s="1">
        <v>46142</v>
      </c>
      <c r="L309" s="3">
        <v>16726620</v>
      </c>
      <c r="M309" s="3">
        <v>16614967.418945</v>
      </c>
      <c r="N309" s="3">
        <v>16614967.418945</v>
      </c>
      <c r="O309" s="6" t="s">
        <v>452</v>
      </c>
      <c r="P309" t="s">
        <v>196</v>
      </c>
      <c r="Q309" s="3">
        <v>32</v>
      </c>
      <c r="R309" s="5">
        <v>8.8887999999999995E-2</v>
      </c>
      <c r="S309" s="6" t="s">
        <v>145</v>
      </c>
      <c r="T309" t="s">
        <v>21</v>
      </c>
    </row>
    <row r="310" spans="1:20" x14ac:dyDescent="0.25">
      <c r="A310" t="s">
        <v>32</v>
      </c>
      <c r="B310" t="s">
        <v>77</v>
      </c>
      <c r="C310" t="s">
        <v>78</v>
      </c>
      <c r="D310" t="s">
        <v>79</v>
      </c>
      <c r="E310" t="s">
        <v>1291</v>
      </c>
      <c r="F310" t="s">
        <v>19</v>
      </c>
      <c r="G310" s="2">
        <v>46083</v>
      </c>
      <c r="H310" s="2">
        <v>46177</v>
      </c>
      <c r="I310" s="3">
        <v>3047078</v>
      </c>
      <c r="J310" t="s">
        <v>20</v>
      </c>
      <c r="K310" s="1">
        <v>46142</v>
      </c>
      <c r="L310" s="3">
        <v>3093150</v>
      </c>
      <c r="M310" s="3">
        <v>3070581.2279739999</v>
      </c>
      <c r="N310" s="3">
        <v>3070581.2279739999</v>
      </c>
      <c r="O310" s="6" t="s">
        <v>282</v>
      </c>
      <c r="P310" t="s">
        <v>196</v>
      </c>
      <c r="Q310" s="3">
        <v>35</v>
      </c>
      <c r="R310" s="5">
        <v>9.7222000000000003E-2</v>
      </c>
      <c r="S310" s="6" t="s">
        <v>145</v>
      </c>
      <c r="T310" t="s">
        <v>21</v>
      </c>
    </row>
    <row r="311" spans="1:20" x14ac:dyDescent="0.25">
      <c r="A311" t="s">
        <v>32</v>
      </c>
      <c r="B311" t="s">
        <v>77</v>
      </c>
      <c r="C311" t="s">
        <v>78</v>
      </c>
      <c r="D311" t="s">
        <v>79</v>
      </c>
      <c r="E311" t="s">
        <v>1338</v>
      </c>
      <c r="F311" t="s">
        <v>19</v>
      </c>
      <c r="G311" s="2">
        <v>46140</v>
      </c>
      <c r="H311" s="2">
        <v>46240</v>
      </c>
      <c r="I311" s="3">
        <v>3099137</v>
      </c>
      <c r="J311" t="s">
        <v>20</v>
      </c>
      <c r="K311" s="1">
        <v>46142</v>
      </c>
      <c r="L311" s="3">
        <v>3164219</v>
      </c>
      <c r="M311" s="3">
        <v>3100412.5105329999</v>
      </c>
      <c r="N311" s="3">
        <v>3100412.5105329999</v>
      </c>
      <c r="O311" s="6" t="s">
        <v>1271</v>
      </c>
      <c r="P311" t="s">
        <v>196</v>
      </c>
      <c r="Q311" s="3">
        <v>98</v>
      </c>
      <c r="R311" s="5">
        <v>0.27222200000000002</v>
      </c>
      <c r="S311" s="6" t="s">
        <v>141</v>
      </c>
      <c r="T311" t="s">
        <v>21</v>
      </c>
    </row>
    <row r="312" spans="1:20" x14ac:dyDescent="0.25">
      <c r="A312" t="s">
        <v>32</v>
      </c>
      <c r="B312" t="s">
        <v>77</v>
      </c>
      <c r="C312" t="s">
        <v>78</v>
      </c>
      <c r="D312" t="s">
        <v>79</v>
      </c>
      <c r="E312" t="s">
        <v>1364</v>
      </c>
      <c r="F312" t="s">
        <v>19</v>
      </c>
      <c r="G312" s="2">
        <v>46141</v>
      </c>
      <c r="H312" s="2">
        <v>46241</v>
      </c>
      <c r="I312" s="3">
        <v>60189698</v>
      </c>
      <c r="J312" t="s">
        <v>20</v>
      </c>
      <c r="K312" s="1">
        <v>46142</v>
      </c>
      <c r="L312" s="3">
        <v>61453682</v>
      </c>
      <c r="M312" s="3">
        <v>60202080.741387002</v>
      </c>
      <c r="N312" s="3">
        <v>60202080.741387002</v>
      </c>
      <c r="O312" s="6" t="s">
        <v>185</v>
      </c>
      <c r="P312" t="s">
        <v>196</v>
      </c>
      <c r="Q312" s="3">
        <v>99</v>
      </c>
      <c r="R312" s="5">
        <v>0.27500000000000002</v>
      </c>
      <c r="S312" s="6" t="s">
        <v>141</v>
      </c>
      <c r="T312" t="s">
        <v>21</v>
      </c>
    </row>
    <row r="313" spans="1:20" x14ac:dyDescent="0.25">
      <c r="A313" t="s">
        <v>32</v>
      </c>
      <c r="B313" t="s">
        <v>77</v>
      </c>
      <c r="C313" t="s">
        <v>78</v>
      </c>
      <c r="D313" t="s">
        <v>79</v>
      </c>
      <c r="E313" t="s">
        <v>1364</v>
      </c>
      <c r="F313" t="s">
        <v>19</v>
      </c>
      <c r="G313" s="2">
        <v>46141</v>
      </c>
      <c r="H313" s="2">
        <v>46241</v>
      </c>
      <c r="I313" s="3">
        <v>7036397</v>
      </c>
      <c r="J313" t="s">
        <v>20</v>
      </c>
      <c r="K313" s="1">
        <v>46142</v>
      </c>
      <c r="L313" s="3">
        <v>7184161</v>
      </c>
      <c r="M313" s="3">
        <v>7037844.2186930003</v>
      </c>
      <c r="N313" s="3">
        <v>7037844.2186930003</v>
      </c>
      <c r="O313" s="6" t="s">
        <v>185</v>
      </c>
      <c r="P313" t="s">
        <v>196</v>
      </c>
      <c r="Q313" s="3">
        <v>99</v>
      </c>
      <c r="R313" s="5">
        <v>0.27500000000000002</v>
      </c>
      <c r="S313" s="6" t="s">
        <v>141</v>
      </c>
      <c r="T313" t="s">
        <v>21</v>
      </c>
    </row>
    <row r="314" spans="1:20" x14ac:dyDescent="0.25">
      <c r="A314" t="s">
        <v>32</v>
      </c>
      <c r="B314" t="s">
        <v>77</v>
      </c>
      <c r="C314" t="s">
        <v>78</v>
      </c>
      <c r="D314" t="s">
        <v>79</v>
      </c>
      <c r="E314" t="s">
        <v>38</v>
      </c>
      <c r="F314" t="s">
        <v>19</v>
      </c>
      <c r="G314" s="2">
        <v>46050</v>
      </c>
      <c r="H314" s="2">
        <v>46154</v>
      </c>
      <c r="I314" s="3">
        <v>43226093</v>
      </c>
      <c r="J314" t="s">
        <v>20</v>
      </c>
      <c r="K314" s="1">
        <v>46142</v>
      </c>
      <c r="L314" s="3">
        <v>43670889</v>
      </c>
      <c r="M314" s="3">
        <v>43561114.990225002</v>
      </c>
      <c r="N314" s="3">
        <v>43561114.990225002</v>
      </c>
      <c r="O314" s="6" t="s">
        <v>147</v>
      </c>
      <c r="P314" t="s">
        <v>196</v>
      </c>
      <c r="Q314" s="3">
        <v>12</v>
      </c>
      <c r="R314" s="5">
        <v>3.3333000000000002E-2</v>
      </c>
      <c r="S314" s="6" t="s">
        <v>143</v>
      </c>
      <c r="T314" t="s">
        <v>21</v>
      </c>
    </row>
    <row r="315" spans="1:20" x14ac:dyDescent="0.25">
      <c r="A315" t="s">
        <v>32</v>
      </c>
      <c r="B315" t="s">
        <v>77</v>
      </c>
      <c r="C315" t="s">
        <v>78</v>
      </c>
      <c r="D315" t="s">
        <v>79</v>
      </c>
      <c r="E315" t="s">
        <v>24</v>
      </c>
      <c r="F315" t="s">
        <v>19</v>
      </c>
      <c r="G315" s="2">
        <v>46051</v>
      </c>
      <c r="H315" s="2">
        <v>46155</v>
      </c>
      <c r="I315" s="3">
        <v>2769817</v>
      </c>
      <c r="J315" t="s">
        <v>20</v>
      </c>
      <c r="K315" s="1">
        <v>46142</v>
      </c>
      <c r="L315" s="3">
        <v>2798900</v>
      </c>
      <c r="M315" s="3">
        <v>2791279.8061290001</v>
      </c>
      <c r="N315" s="3">
        <v>2791279.8061290001</v>
      </c>
      <c r="O315" s="6" t="s">
        <v>452</v>
      </c>
      <c r="P315" t="s">
        <v>196</v>
      </c>
      <c r="Q315" s="3">
        <v>13</v>
      </c>
      <c r="R315" s="5">
        <v>3.6110999999999997E-2</v>
      </c>
      <c r="S315" s="6" t="s">
        <v>143</v>
      </c>
      <c r="T315" t="s">
        <v>21</v>
      </c>
    </row>
    <row r="316" spans="1:20" x14ac:dyDescent="0.25">
      <c r="A316" t="s">
        <v>32</v>
      </c>
      <c r="B316" t="s">
        <v>77</v>
      </c>
      <c r="C316" t="s">
        <v>78</v>
      </c>
      <c r="D316" t="s">
        <v>79</v>
      </c>
      <c r="E316" t="s">
        <v>25</v>
      </c>
      <c r="F316" t="s">
        <v>19</v>
      </c>
      <c r="G316" s="2">
        <v>46051</v>
      </c>
      <c r="H316" s="2">
        <v>46156</v>
      </c>
      <c r="I316" s="3">
        <v>7833037</v>
      </c>
      <c r="J316" t="s">
        <v>20</v>
      </c>
      <c r="K316" s="1">
        <v>46142</v>
      </c>
      <c r="L316" s="3">
        <v>7916929</v>
      </c>
      <c r="M316" s="3">
        <v>7893721.4589109998</v>
      </c>
      <c r="N316" s="3">
        <v>7893721.4589109998</v>
      </c>
      <c r="O316" s="6" t="s">
        <v>452</v>
      </c>
      <c r="P316" t="s">
        <v>196</v>
      </c>
      <c r="Q316" s="3">
        <v>14</v>
      </c>
      <c r="R316" s="5">
        <v>3.8887999999999999E-2</v>
      </c>
      <c r="S316" s="6" t="s">
        <v>143</v>
      </c>
      <c r="T316" t="s">
        <v>21</v>
      </c>
    </row>
    <row r="317" spans="1:20" x14ac:dyDescent="0.25">
      <c r="A317" t="s">
        <v>32</v>
      </c>
      <c r="B317" t="s">
        <v>77</v>
      </c>
      <c r="C317" t="s">
        <v>78</v>
      </c>
      <c r="D317" t="s">
        <v>79</v>
      </c>
      <c r="E317" t="s">
        <v>26</v>
      </c>
      <c r="F317" t="s">
        <v>19</v>
      </c>
      <c r="G317" s="2">
        <v>46052</v>
      </c>
      <c r="H317" s="2">
        <v>46157</v>
      </c>
      <c r="I317" s="3">
        <v>31443894</v>
      </c>
      <c r="J317" t="s">
        <v>20</v>
      </c>
      <c r="K317" s="1">
        <v>46142</v>
      </c>
      <c r="L317" s="3">
        <v>31787261</v>
      </c>
      <c r="M317" s="3">
        <v>31687445.546528</v>
      </c>
      <c r="N317" s="3">
        <v>31687445.546528</v>
      </c>
      <c r="O317" s="6" t="s">
        <v>521</v>
      </c>
      <c r="P317" t="s">
        <v>196</v>
      </c>
      <c r="Q317" s="3">
        <v>15</v>
      </c>
      <c r="R317" s="5">
        <v>4.1666000000000002E-2</v>
      </c>
      <c r="S317" s="6" t="s">
        <v>143</v>
      </c>
      <c r="T317" t="s">
        <v>21</v>
      </c>
    </row>
    <row r="318" spans="1:20" x14ac:dyDescent="0.25">
      <c r="A318" t="s">
        <v>32</v>
      </c>
      <c r="B318" t="s">
        <v>77</v>
      </c>
      <c r="C318" t="s">
        <v>78</v>
      </c>
      <c r="D318" t="s">
        <v>79</v>
      </c>
      <c r="E318" t="s">
        <v>41</v>
      </c>
      <c r="F318" t="s">
        <v>19</v>
      </c>
      <c r="G318" s="2">
        <v>46064</v>
      </c>
      <c r="H318" s="2">
        <v>46169</v>
      </c>
      <c r="I318" s="3">
        <v>26142400</v>
      </c>
      <c r="J318" t="s">
        <v>20</v>
      </c>
      <c r="K318" s="1">
        <v>46142</v>
      </c>
      <c r="L318" s="3">
        <v>26493754</v>
      </c>
      <c r="M318" s="3">
        <v>26344381.357701998</v>
      </c>
      <c r="N318" s="3">
        <v>26344381.357701998</v>
      </c>
      <c r="O318" s="6" t="s">
        <v>521</v>
      </c>
      <c r="P318" t="s">
        <v>196</v>
      </c>
      <c r="Q318" s="3">
        <v>27</v>
      </c>
      <c r="R318" s="5">
        <v>7.4999999999999997E-2</v>
      </c>
      <c r="S318" s="6" t="s">
        <v>143</v>
      </c>
      <c r="T318" t="s">
        <v>21</v>
      </c>
    </row>
    <row r="319" spans="1:20" x14ac:dyDescent="0.25">
      <c r="A319" t="s">
        <v>32</v>
      </c>
      <c r="B319" t="s">
        <v>77</v>
      </c>
      <c r="C319" t="s">
        <v>78</v>
      </c>
      <c r="D319" t="s">
        <v>79</v>
      </c>
      <c r="E319" t="s">
        <v>1347</v>
      </c>
      <c r="F319" t="s">
        <v>19</v>
      </c>
      <c r="G319" s="2">
        <v>46133</v>
      </c>
      <c r="H319" s="2">
        <v>46232</v>
      </c>
      <c r="I319" s="3">
        <v>32684925</v>
      </c>
      <c r="J319" t="s">
        <v>20</v>
      </c>
      <c r="K319" s="1">
        <v>46142</v>
      </c>
      <c r="L319" s="3">
        <v>33364445</v>
      </c>
      <c r="M319" s="3">
        <v>32745554.028855</v>
      </c>
      <c r="N319" s="3">
        <v>32745554.028855</v>
      </c>
      <c r="O319" s="6" t="s">
        <v>153</v>
      </c>
      <c r="P319" t="s">
        <v>196</v>
      </c>
      <c r="Q319" s="3">
        <v>90</v>
      </c>
      <c r="R319" s="5">
        <v>0.25</v>
      </c>
      <c r="S319" s="6" t="s">
        <v>145</v>
      </c>
      <c r="T319" t="s">
        <v>21</v>
      </c>
    </row>
    <row r="320" spans="1:20" x14ac:dyDescent="0.25">
      <c r="A320" t="s">
        <v>32</v>
      </c>
      <c r="B320" t="s">
        <v>77</v>
      </c>
      <c r="C320" t="s">
        <v>78</v>
      </c>
      <c r="D320" t="s">
        <v>79</v>
      </c>
      <c r="E320" t="s">
        <v>43</v>
      </c>
      <c r="F320" t="s">
        <v>19</v>
      </c>
      <c r="G320" s="2">
        <v>46043</v>
      </c>
      <c r="H320" s="2">
        <v>46146</v>
      </c>
      <c r="I320" s="3">
        <v>22000000</v>
      </c>
      <c r="J320" t="s">
        <v>20</v>
      </c>
      <c r="K320" s="1">
        <v>46142</v>
      </c>
      <c r="L320" s="3">
        <v>22152460</v>
      </c>
      <c r="M320" s="3">
        <v>22133867.551256999</v>
      </c>
      <c r="N320" s="3">
        <v>22133867.551256999</v>
      </c>
      <c r="O320" s="6"/>
      <c r="P320" t="s">
        <v>196</v>
      </c>
      <c r="Q320" s="3">
        <v>4</v>
      </c>
      <c r="R320" s="5">
        <v>1.1110999999999999E-2</v>
      </c>
      <c r="S320" s="6" t="s">
        <v>143</v>
      </c>
      <c r="T320" t="s">
        <v>21</v>
      </c>
    </row>
    <row r="321" spans="1:20" x14ac:dyDescent="0.25">
      <c r="A321" t="s">
        <v>32</v>
      </c>
      <c r="B321" t="s">
        <v>77</v>
      </c>
      <c r="C321" t="s">
        <v>78</v>
      </c>
      <c r="D321" t="s">
        <v>79</v>
      </c>
      <c r="E321" t="s">
        <v>45</v>
      </c>
      <c r="F321" t="s">
        <v>19</v>
      </c>
      <c r="G321" s="2">
        <v>46050</v>
      </c>
      <c r="H321" s="2">
        <v>46153</v>
      </c>
      <c r="I321" s="3">
        <v>12780570</v>
      </c>
      <c r="J321" t="s">
        <v>20</v>
      </c>
      <c r="K321" s="1">
        <v>46142</v>
      </c>
      <c r="L321" s="3">
        <v>12909398</v>
      </c>
      <c r="M321" s="3">
        <v>12879646.017698999</v>
      </c>
      <c r="N321" s="3">
        <v>12879646.017698999</v>
      </c>
      <c r="O321" s="6"/>
      <c r="P321" t="s">
        <v>196</v>
      </c>
      <c r="Q321" s="3">
        <v>11</v>
      </c>
      <c r="R321" s="5">
        <v>3.0554999999999999E-2</v>
      </c>
      <c r="S321" s="6" t="s">
        <v>143</v>
      </c>
      <c r="T321" t="s">
        <v>21</v>
      </c>
    </row>
    <row r="322" spans="1:20" x14ac:dyDescent="0.25">
      <c r="A322" t="s">
        <v>32</v>
      </c>
      <c r="B322" t="s">
        <v>77</v>
      </c>
      <c r="C322" t="s">
        <v>78</v>
      </c>
      <c r="D322" t="s">
        <v>79</v>
      </c>
      <c r="E322" t="s">
        <v>1307</v>
      </c>
      <c r="F322" t="s">
        <v>19</v>
      </c>
      <c r="G322" s="2">
        <v>46092</v>
      </c>
      <c r="H322" s="2">
        <v>46190</v>
      </c>
      <c r="I322" s="3">
        <v>151434653</v>
      </c>
      <c r="J322" t="s">
        <v>20</v>
      </c>
      <c r="K322" s="1">
        <v>46142</v>
      </c>
      <c r="L322" s="3">
        <v>154137762</v>
      </c>
      <c r="M322" s="3">
        <v>152599558.45081601</v>
      </c>
      <c r="N322" s="3">
        <v>152599558.45081601</v>
      </c>
      <c r="O322" s="6"/>
      <c r="P322" t="s">
        <v>196</v>
      </c>
      <c r="Q322" s="3">
        <v>48</v>
      </c>
      <c r="R322" s="5">
        <v>0.13333300000000001</v>
      </c>
      <c r="S322" s="6" t="s">
        <v>145</v>
      </c>
      <c r="T322" t="s">
        <v>21</v>
      </c>
    </row>
    <row r="323" spans="1:20" x14ac:dyDescent="0.25">
      <c r="A323" t="s">
        <v>32</v>
      </c>
      <c r="B323" t="s">
        <v>77</v>
      </c>
      <c r="C323" t="s">
        <v>78</v>
      </c>
      <c r="D323" t="s">
        <v>79</v>
      </c>
      <c r="E323" t="s">
        <v>1307</v>
      </c>
      <c r="F323" t="s">
        <v>19</v>
      </c>
      <c r="G323" s="2">
        <v>46092</v>
      </c>
      <c r="H323" s="2">
        <v>46190</v>
      </c>
      <c r="I323" s="3">
        <v>49897049</v>
      </c>
      <c r="J323" t="s">
        <v>20</v>
      </c>
      <c r="K323" s="1">
        <v>46142</v>
      </c>
      <c r="L323" s="3">
        <v>50787711</v>
      </c>
      <c r="M323" s="3">
        <v>50280879.732298002</v>
      </c>
      <c r="N323" s="3">
        <v>50280879.732298002</v>
      </c>
      <c r="O323" s="6"/>
      <c r="P323" t="s">
        <v>196</v>
      </c>
      <c r="Q323" s="3">
        <v>48</v>
      </c>
      <c r="R323" s="5">
        <v>0.13333300000000001</v>
      </c>
      <c r="S323" s="6" t="s">
        <v>145</v>
      </c>
      <c r="T323" t="s">
        <v>21</v>
      </c>
    </row>
    <row r="324" spans="1:20" x14ac:dyDescent="0.25">
      <c r="A324" t="s">
        <v>32</v>
      </c>
      <c r="B324" t="s">
        <v>77</v>
      </c>
      <c r="C324" t="s">
        <v>78</v>
      </c>
      <c r="D324" t="s">
        <v>79</v>
      </c>
      <c r="E324" t="s">
        <v>1309</v>
      </c>
      <c r="F324" t="s">
        <v>19</v>
      </c>
      <c r="G324" s="2">
        <v>46099</v>
      </c>
      <c r="H324" s="2">
        <v>46197</v>
      </c>
      <c r="I324" s="3">
        <v>14598893</v>
      </c>
      <c r="J324" t="s">
        <v>20</v>
      </c>
      <c r="K324" s="1">
        <v>46142</v>
      </c>
      <c r="L324" s="3">
        <v>14899338</v>
      </c>
      <c r="M324" s="3">
        <v>14729215.560279001</v>
      </c>
      <c r="N324" s="3">
        <v>14729215.560279001</v>
      </c>
      <c r="O324" s="6" t="s">
        <v>313</v>
      </c>
      <c r="P324" t="s">
        <v>201</v>
      </c>
      <c r="Q324" s="3">
        <v>55</v>
      </c>
      <c r="R324" s="5">
        <v>0.152777</v>
      </c>
      <c r="S324" s="6" t="s">
        <v>145</v>
      </c>
      <c r="T324" t="s">
        <v>21</v>
      </c>
    </row>
    <row r="325" spans="1:20" x14ac:dyDescent="0.25">
      <c r="A325" t="s">
        <v>32</v>
      </c>
      <c r="B325" t="s">
        <v>77</v>
      </c>
      <c r="C325" t="s">
        <v>78</v>
      </c>
      <c r="D325" t="s">
        <v>79</v>
      </c>
      <c r="E325" t="s">
        <v>1357</v>
      </c>
      <c r="F325" t="s">
        <v>19</v>
      </c>
      <c r="G325" s="2">
        <v>46128</v>
      </c>
      <c r="H325" s="2">
        <v>46227</v>
      </c>
      <c r="I325" s="3">
        <v>30595796</v>
      </c>
      <c r="J325" t="s">
        <v>20</v>
      </c>
      <c r="K325" s="1">
        <v>46142</v>
      </c>
      <c r="L325" s="3">
        <v>31231883</v>
      </c>
      <c r="M325" s="3">
        <v>30684170.555583</v>
      </c>
      <c r="N325" s="3">
        <v>30684170.555583</v>
      </c>
      <c r="O325" s="6"/>
      <c r="P325" t="s">
        <v>196</v>
      </c>
      <c r="Q325" s="3">
        <v>85</v>
      </c>
      <c r="R325" s="5">
        <v>0.23611099999999999</v>
      </c>
      <c r="S325" s="6" t="s">
        <v>145</v>
      </c>
      <c r="T325" t="s">
        <v>21</v>
      </c>
    </row>
    <row r="326" spans="1:20" x14ac:dyDescent="0.25">
      <c r="A326" t="s">
        <v>32</v>
      </c>
      <c r="B326" t="s">
        <v>77</v>
      </c>
      <c r="C326" t="s">
        <v>78</v>
      </c>
      <c r="D326" t="s">
        <v>79</v>
      </c>
      <c r="E326" t="s">
        <v>1357</v>
      </c>
      <c r="F326" t="s">
        <v>19</v>
      </c>
      <c r="G326" s="2">
        <v>46128</v>
      </c>
      <c r="H326" s="2">
        <v>46227</v>
      </c>
      <c r="I326" s="3">
        <v>10198598</v>
      </c>
      <c r="J326" t="s">
        <v>20</v>
      </c>
      <c r="K326" s="1">
        <v>46142</v>
      </c>
      <c r="L326" s="3">
        <v>10410627</v>
      </c>
      <c r="M326" s="3">
        <v>10228056.196885999</v>
      </c>
      <c r="N326" s="3">
        <v>10228056.196885999</v>
      </c>
      <c r="O326" s="6"/>
      <c r="P326" t="s">
        <v>196</v>
      </c>
      <c r="Q326" s="3">
        <v>85</v>
      </c>
      <c r="R326" s="5">
        <v>0.23611099999999999</v>
      </c>
      <c r="S326" s="6" t="s">
        <v>145</v>
      </c>
      <c r="T326" t="s">
        <v>21</v>
      </c>
    </row>
    <row r="327" spans="1:20" x14ac:dyDescent="0.25">
      <c r="A327" t="s">
        <v>15</v>
      </c>
      <c r="B327" t="s">
        <v>80</v>
      </c>
      <c r="C327" t="s">
        <v>81</v>
      </c>
      <c r="D327" t="s">
        <v>82</v>
      </c>
      <c r="E327" t="s">
        <v>1330</v>
      </c>
      <c r="F327" t="s">
        <v>19</v>
      </c>
      <c r="G327" s="2">
        <v>46136</v>
      </c>
      <c r="H327" s="2">
        <v>46237</v>
      </c>
      <c r="I327" s="3">
        <v>15066870</v>
      </c>
      <c r="J327" t="s">
        <v>20</v>
      </c>
      <c r="K327" s="1">
        <v>46142</v>
      </c>
      <c r="L327" s="3">
        <v>15386438</v>
      </c>
      <c r="M327" s="3">
        <v>15085482.621696999</v>
      </c>
      <c r="N327" s="3">
        <v>15085482.621696999</v>
      </c>
      <c r="O327" s="6" t="s">
        <v>521</v>
      </c>
      <c r="P327" t="s">
        <v>196</v>
      </c>
      <c r="Q327" s="3">
        <v>95</v>
      </c>
      <c r="R327" s="5">
        <v>0.26388800000000001</v>
      </c>
      <c r="S327" s="6" t="s">
        <v>141</v>
      </c>
      <c r="T327" t="s">
        <v>21</v>
      </c>
    </row>
    <row r="328" spans="1:20" x14ac:dyDescent="0.25">
      <c r="A328" t="s">
        <v>15</v>
      </c>
      <c r="B328" t="s">
        <v>80</v>
      </c>
      <c r="C328" t="s">
        <v>81</v>
      </c>
      <c r="D328" t="s">
        <v>82</v>
      </c>
      <c r="E328" t="s">
        <v>22</v>
      </c>
      <c r="F328" t="s">
        <v>19</v>
      </c>
      <c r="G328" s="2">
        <v>46043</v>
      </c>
      <c r="H328" s="2">
        <v>46146</v>
      </c>
      <c r="I328" s="3">
        <v>6592473</v>
      </c>
      <c r="J328" t="s">
        <v>20</v>
      </c>
      <c r="K328" s="1">
        <v>46142</v>
      </c>
      <c r="L328" s="3">
        <v>6672462</v>
      </c>
      <c r="M328" s="3">
        <v>6666684.2070209999</v>
      </c>
      <c r="N328" s="3">
        <v>6666684.2070209999</v>
      </c>
      <c r="O328" s="6"/>
      <c r="P328" t="s">
        <v>196</v>
      </c>
      <c r="Q328" s="3">
        <v>4</v>
      </c>
      <c r="R328" s="5">
        <v>1.1110999999999999E-2</v>
      </c>
      <c r="S328" s="6" t="s">
        <v>143</v>
      </c>
      <c r="T328" t="s">
        <v>21</v>
      </c>
    </row>
    <row r="329" spans="1:20" x14ac:dyDescent="0.25">
      <c r="A329" t="s">
        <v>15</v>
      </c>
      <c r="B329" t="s">
        <v>80</v>
      </c>
      <c r="C329" t="s">
        <v>81</v>
      </c>
      <c r="D329" t="s">
        <v>82</v>
      </c>
      <c r="E329" t="s">
        <v>22</v>
      </c>
      <c r="F329" t="s">
        <v>19</v>
      </c>
      <c r="G329" s="2">
        <v>46043</v>
      </c>
      <c r="H329" s="2">
        <v>46146</v>
      </c>
      <c r="I329" s="3">
        <v>23521083</v>
      </c>
      <c r="J329" t="s">
        <v>20</v>
      </c>
      <c r="K329" s="1">
        <v>46142</v>
      </c>
      <c r="L329" s="3">
        <v>23639629</v>
      </c>
      <c r="M329" s="3">
        <v>23619788.377762999</v>
      </c>
      <c r="N329" s="3">
        <v>23619788.377762999</v>
      </c>
      <c r="O329" s="6"/>
      <c r="P329" t="s">
        <v>196</v>
      </c>
      <c r="Q329" s="3">
        <v>4</v>
      </c>
      <c r="R329" s="5">
        <v>1.1110999999999999E-2</v>
      </c>
      <c r="S329" s="6" t="s">
        <v>143</v>
      </c>
      <c r="T329" t="s">
        <v>21</v>
      </c>
    </row>
    <row r="330" spans="1:20" x14ac:dyDescent="0.25">
      <c r="A330" t="s">
        <v>15</v>
      </c>
      <c r="B330" t="s">
        <v>80</v>
      </c>
      <c r="C330" t="s">
        <v>81</v>
      </c>
      <c r="D330" t="s">
        <v>82</v>
      </c>
      <c r="E330" t="s">
        <v>36</v>
      </c>
      <c r="F330" t="s">
        <v>19</v>
      </c>
      <c r="G330" s="2">
        <v>46048</v>
      </c>
      <c r="H330" s="2">
        <v>46147</v>
      </c>
      <c r="I330" s="3">
        <v>3154549</v>
      </c>
      <c r="J330" t="s">
        <v>20</v>
      </c>
      <c r="K330" s="1">
        <v>46142</v>
      </c>
      <c r="L330" s="3">
        <v>3193508</v>
      </c>
      <c r="M330" s="3">
        <v>3190052.1102140001</v>
      </c>
      <c r="N330" s="3">
        <v>3190052.1102140001</v>
      </c>
      <c r="O330" s="6"/>
      <c r="P330" t="s">
        <v>196</v>
      </c>
      <c r="Q330" s="3">
        <v>5</v>
      </c>
      <c r="R330" s="5">
        <v>1.3887999999999999E-2</v>
      </c>
      <c r="S330" s="6" t="s">
        <v>143</v>
      </c>
      <c r="T330" t="s">
        <v>21</v>
      </c>
    </row>
    <row r="331" spans="1:20" x14ac:dyDescent="0.25">
      <c r="A331" t="s">
        <v>15</v>
      </c>
      <c r="B331" t="s">
        <v>80</v>
      </c>
      <c r="C331" t="s">
        <v>81</v>
      </c>
      <c r="D331" t="s">
        <v>82</v>
      </c>
      <c r="E331" t="s">
        <v>1331</v>
      </c>
      <c r="F331" t="s">
        <v>19</v>
      </c>
      <c r="G331" s="2">
        <v>46140</v>
      </c>
      <c r="H331" s="2">
        <v>46239</v>
      </c>
      <c r="I331" s="3">
        <v>7124568</v>
      </c>
      <c r="J331" t="s">
        <v>20</v>
      </c>
      <c r="K331" s="1">
        <v>46142</v>
      </c>
      <c r="L331" s="3">
        <v>7272688</v>
      </c>
      <c r="M331" s="3">
        <v>7127500.80853</v>
      </c>
      <c r="N331" s="3">
        <v>7127500.80853</v>
      </c>
      <c r="O331" s="6" t="s">
        <v>248</v>
      </c>
      <c r="P331" t="s">
        <v>196</v>
      </c>
      <c r="Q331" s="3">
        <v>97</v>
      </c>
      <c r="R331" s="5">
        <v>0.26944400000000002</v>
      </c>
      <c r="S331" s="6" t="s">
        <v>141</v>
      </c>
      <c r="T331" t="s">
        <v>21</v>
      </c>
    </row>
    <row r="332" spans="1:20" x14ac:dyDescent="0.25">
      <c r="A332" t="s">
        <v>15</v>
      </c>
      <c r="B332" t="s">
        <v>80</v>
      </c>
      <c r="C332" t="s">
        <v>81</v>
      </c>
      <c r="D332" t="s">
        <v>82</v>
      </c>
      <c r="E332" t="s">
        <v>1338</v>
      </c>
      <c r="F332" t="s">
        <v>19</v>
      </c>
      <c r="G332" s="2">
        <v>46140</v>
      </c>
      <c r="H332" s="2">
        <v>46240</v>
      </c>
      <c r="I332" s="3">
        <v>120952772</v>
      </c>
      <c r="J332" t="s">
        <v>20</v>
      </c>
      <c r="K332" s="1">
        <v>46142</v>
      </c>
      <c r="L332" s="3">
        <v>123492780</v>
      </c>
      <c r="M332" s="3">
        <v>121002547.570989</v>
      </c>
      <c r="N332" s="3">
        <v>121002547.570989</v>
      </c>
      <c r="O332" s="6" t="s">
        <v>1271</v>
      </c>
      <c r="P332" t="s">
        <v>196</v>
      </c>
      <c r="Q332" s="3">
        <v>98</v>
      </c>
      <c r="R332" s="5">
        <v>0.27222200000000002</v>
      </c>
      <c r="S332" s="6" t="s">
        <v>141</v>
      </c>
      <c r="T332" t="s">
        <v>21</v>
      </c>
    </row>
    <row r="333" spans="1:20" x14ac:dyDescent="0.25">
      <c r="A333" t="s">
        <v>15</v>
      </c>
      <c r="B333" t="s">
        <v>80</v>
      </c>
      <c r="C333" t="s">
        <v>81</v>
      </c>
      <c r="D333" t="s">
        <v>82</v>
      </c>
      <c r="E333" t="s">
        <v>1294</v>
      </c>
      <c r="F333" t="s">
        <v>19</v>
      </c>
      <c r="G333" s="2">
        <v>46111</v>
      </c>
      <c r="H333" s="2">
        <v>46210</v>
      </c>
      <c r="I333" s="3">
        <v>36545312</v>
      </c>
      <c r="J333" t="s">
        <v>20</v>
      </c>
      <c r="K333" s="1">
        <v>46142</v>
      </c>
      <c r="L333" s="3">
        <v>37305089</v>
      </c>
      <c r="M333" s="3">
        <v>36779872.421815999</v>
      </c>
      <c r="N333" s="3">
        <v>36779872.421815999</v>
      </c>
      <c r="O333" s="6" t="s">
        <v>325</v>
      </c>
      <c r="P333" t="s">
        <v>196</v>
      </c>
      <c r="Q333" s="3">
        <v>68</v>
      </c>
      <c r="R333" s="5">
        <v>0.188888</v>
      </c>
      <c r="S333" s="6" t="s">
        <v>145</v>
      </c>
      <c r="T333" t="s">
        <v>21</v>
      </c>
    </row>
    <row r="334" spans="1:20" x14ac:dyDescent="0.25">
      <c r="A334" t="s">
        <v>15</v>
      </c>
      <c r="B334" t="s">
        <v>80</v>
      </c>
      <c r="C334" t="s">
        <v>81</v>
      </c>
      <c r="D334" t="s">
        <v>82</v>
      </c>
      <c r="E334" t="s">
        <v>1364</v>
      </c>
      <c r="F334" t="s">
        <v>19</v>
      </c>
      <c r="G334" s="2">
        <v>46141</v>
      </c>
      <c r="H334" s="2">
        <v>46241</v>
      </c>
      <c r="I334" s="3">
        <v>6354337</v>
      </c>
      <c r="J334" t="s">
        <v>20</v>
      </c>
      <c r="K334" s="1">
        <v>46142</v>
      </c>
      <c r="L334" s="3">
        <v>6487778</v>
      </c>
      <c r="M334" s="3">
        <v>6355644.1579560004</v>
      </c>
      <c r="N334" s="3">
        <v>6355644.1579560004</v>
      </c>
      <c r="O334" s="6" t="s">
        <v>185</v>
      </c>
      <c r="P334" t="s">
        <v>196</v>
      </c>
      <c r="Q334" s="3">
        <v>99</v>
      </c>
      <c r="R334" s="5">
        <v>0.27500000000000002</v>
      </c>
      <c r="S334" s="6" t="s">
        <v>141</v>
      </c>
      <c r="T334" t="s">
        <v>21</v>
      </c>
    </row>
    <row r="335" spans="1:20" x14ac:dyDescent="0.25">
      <c r="A335" t="s">
        <v>15</v>
      </c>
      <c r="B335" t="s">
        <v>80</v>
      </c>
      <c r="C335" t="s">
        <v>81</v>
      </c>
      <c r="D335" t="s">
        <v>82</v>
      </c>
      <c r="E335" t="s">
        <v>61</v>
      </c>
      <c r="F335" t="s">
        <v>19</v>
      </c>
      <c r="G335" s="2">
        <v>46049</v>
      </c>
      <c r="H335" s="2">
        <v>46150</v>
      </c>
      <c r="I335" s="3">
        <v>38719792</v>
      </c>
      <c r="J335" t="s">
        <v>20</v>
      </c>
      <c r="K335" s="1">
        <v>46142</v>
      </c>
      <c r="L335" s="3">
        <v>39223149</v>
      </c>
      <c r="M335" s="3">
        <v>39155279.848263003</v>
      </c>
      <c r="N335" s="3">
        <v>39155279.848263003</v>
      </c>
      <c r="O335" s="6" t="s">
        <v>521</v>
      </c>
      <c r="P335" t="s">
        <v>196</v>
      </c>
      <c r="Q335" s="3">
        <v>8</v>
      </c>
      <c r="R335" s="5">
        <v>2.2221999999999999E-2</v>
      </c>
      <c r="S335" s="6" t="s">
        <v>143</v>
      </c>
      <c r="T335" t="s">
        <v>21</v>
      </c>
    </row>
    <row r="336" spans="1:20" x14ac:dyDescent="0.25">
      <c r="A336" t="s">
        <v>15</v>
      </c>
      <c r="B336" t="s">
        <v>80</v>
      </c>
      <c r="C336" t="s">
        <v>81</v>
      </c>
      <c r="D336" t="s">
        <v>82</v>
      </c>
      <c r="E336" t="s">
        <v>1295</v>
      </c>
      <c r="F336" t="s">
        <v>19</v>
      </c>
      <c r="G336" s="2">
        <v>46085</v>
      </c>
      <c r="H336" s="2">
        <v>46181</v>
      </c>
      <c r="I336" s="3">
        <v>36517973</v>
      </c>
      <c r="J336" t="s">
        <v>20</v>
      </c>
      <c r="K336" s="1">
        <v>46142</v>
      </c>
      <c r="L336" s="3">
        <v>36878405</v>
      </c>
      <c r="M336" s="3">
        <v>36578824.427934997</v>
      </c>
      <c r="N336" s="3">
        <v>36578824.427934997</v>
      </c>
      <c r="O336" s="6" t="s">
        <v>278</v>
      </c>
      <c r="P336" t="s">
        <v>196</v>
      </c>
      <c r="Q336" s="3">
        <v>39</v>
      </c>
      <c r="R336" s="5">
        <v>0.108333</v>
      </c>
      <c r="S336" s="6" t="s">
        <v>145</v>
      </c>
      <c r="T336" t="s">
        <v>21</v>
      </c>
    </row>
    <row r="337" spans="1:20" x14ac:dyDescent="0.25">
      <c r="A337" t="s">
        <v>15</v>
      </c>
      <c r="B337" t="s">
        <v>80</v>
      </c>
      <c r="C337" t="s">
        <v>81</v>
      </c>
      <c r="D337" t="s">
        <v>82</v>
      </c>
      <c r="E337" t="s">
        <v>1358</v>
      </c>
      <c r="F337" t="s">
        <v>19</v>
      </c>
      <c r="G337" s="2">
        <v>46141</v>
      </c>
      <c r="H337" s="2">
        <v>46244</v>
      </c>
      <c r="I337" s="3">
        <v>4514548</v>
      </c>
      <c r="J337" t="s">
        <v>20</v>
      </c>
      <c r="K337" s="1">
        <v>46142</v>
      </c>
      <c r="L337" s="3">
        <v>4612198</v>
      </c>
      <c r="M337" s="3">
        <v>4515476.4935090002</v>
      </c>
      <c r="N337" s="3">
        <v>4515476.4935090002</v>
      </c>
      <c r="O337" s="6" t="s">
        <v>452</v>
      </c>
      <c r="P337" t="s">
        <v>196</v>
      </c>
      <c r="Q337" s="3">
        <v>102</v>
      </c>
      <c r="R337" s="5">
        <v>0.283333</v>
      </c>
      <c r="S337" s="6" t="s">
        <v>141</v>
      </c>
      <c r="T337" t="s">
        <v>21</v>
      </c>
    </row>
    <row r="338" spans="1:20" x14ac:dyDescent="0.25">
      <c r="A338" t="s">
        <v>15</v>
      </c>
      <c r="B338" t="s">
        <v>80</v>
      </c>
      <c r="C338" t="s">
        <v>81</v>
      </c>
      <c r="D338" t="s">
        <v>82</v>
      </c>
      <c r="E338" t="s">
        <v>1358</v>
      </c>
      <c r="F338" t="s">
        <v>19</v>
      </c>
      <c r="G338" s="2">
        <v>46141</v>
      </c>
      <c r="H338" s="2">
        <v>46244</v>
      </c>
      <c r="I338" s="3">
        <v>5834343</v>
      </c>
      <c r="J338" t="s">
        <v>20</v>
      </c>
      <c r="K338" s="1">
        <v>46142</v>
      </c>
      <c r="L338" s="3">
        <v>5960540</v>
      </c>
      <c r="M338" s="3">
        <v>5835542.6758829998</v>
      </c>
      <c r="N338" s="3">
        <v>5835542.6758829998</v>
      </c>
      <c r="O338" s="6" t="s">
        <v>452</v>
      </c>
      <c r="P338" t="s">
        <v>196</v>
      </c>
      <c r="Q338" s="3">
        <v>102</v>
      </c>
      <c r="R338" s="5">
        <v>0.283333</v>
      </c>
      <c r="S338" s="6" t="s">
        <v>141</v>
      </c>
      <c r="T338" t="s">
        <v>21</v>
      </c>
    </row>
    <row r="339" spans="1:20" x14ac:dyDescent="0.25">
      <c r="A339" t="s">
        <v>15</v>
      </c>
      <c r="B339" t="s">
        <v>80</v>
      </c>
      <c r="C339" t="s">
        <v>81</v>
      </c>
      <c r="D339" t="s">
        <v>82</v>
      </c>
      <c r="E339" t="s">
        <v>1358</v>
      </c>
      <c r="F339" t="s">
        <v>19</v>
      </c>
      <c r="G339" s="2">
        <v>46141</v>
      </c>
      <c r="H339" s="2">
        <v>46244</v>
      </c>
      <c r="I339" s="3">
        <v>15963275</v>
      </c>
      <c r="J339" t="s">
        <v>20</v>
      </c>
      <c r="K339" s="1">
        <v>46142</v>
      </c>
      <c r="L339" s="3">
        <v>16308561</v>
      </c>
      <c r="M339" s="3">
        <v>15966557.341739999</v>
      </c>
      <c r="N339" s="3">
        <v>15966557.341739999</v>
      </c>
      <c r="O339" s="6" t="s">
        <v>452</v>
      </c>
      <c r="P339" t="s">
        <v>196</v>
      </c>
      <c r="Q339" s="3">
        <v>102</v>
      </c>
      <c r="R339" s="5">
        <v>0.283333</v>
      </c>
      <c r="S339" s="6" t="s">
        <v>141</v>
      </c>
      <c r="T339" t="s">
        <v>21</v>
      </c>
    </row>
    <row r="340" spans="1:20" x14ac:dyDescent="0.25">
      <c r="A340" t="s">
        <v>15</v>
      </c>
      <c r="B340" t="s">
        <v>80</v>
      </c>
      <c r="C340" t="s">
        <v>81</v>
      </c>
      <c r="D340" t="s">
        <v>82</v>
      </c>
      <c r="E340" t="s">
        <v>37</v>
      </c>
      <c r="F340" t="s">
        <v>19</v>
      </c>
      <c r="G340" s="2">
        <v>46050</v>
      </c>
      <c r="H340" s="2">
        <v>46153</v>
      </c>
      <c r="I340" s="3">
        <v>2021537</v>
      </c>
      <c r="J340" t="s">
        <v>20</v>
      </c>
      <c r="K340" s="1">
        <v>46142</v>
      </c>
      <c r="L340" s="3">
        <v>2049131</v>
      </c>
      <c r="M340" s="3">
        <v>2044258.849741</v>
      </c>
      <c r="N340" s="3">
        <v>2044258.849741</v>
      </c>
      <c r="O340" s="6" t="s">
        <v>153</v>
      </c>
      <c r="P340" t="s">
        <v>196</v>
      </c>
      <c r="Q340" s="3">
        <v>11</v>
      </c>
      <c r="R340" s="5">
        <v>3.0554999999999999E-2</v>
      </c>
      <c r="S340" s="6" t="s">
        <v>143</v>
      </c>
      <c r="T340" t="s">
        <v>21</v>
      </c>
    </row>
    <row r="341" spans="1:20" x14ac:dyDescent="0.25">
      <c r="A341" t="s">
        <v>15</v>
      </c>
      <c r="B341" t="s">
        <v>80</v>
      </c>
      <c r="C341" t="s">
        <v>81</v>
      </c>
      <c r="D341" t="s">
        <v>82</v>
      </c>
      <c r="E341" t="s">
        <v>38</v>
      </c>
      <c r="F341" t="s">
        <v>19</v>
      </c>
      <c r="G341" s="2">
        <v>46050</v>
      </c>
      <c r="H341" s="2">
        <v>46154</v>
      </c>
      <c r="I341" s="3">
        <v>21197178</v>
      </c>
      <c r="J341" t="s">
        <v>20</v>
      </c>
      <c r="K341" s="1">
        <v>46142</v>
      </c>
      <c r="L341" s="3">
        <v>21491112</v>
      </c>
      <c r="M341" s="3">
        <v>21435380.011969</v>
      </c>
      <c r="N341" s="3">
        <v>21435380.011969</v>
      </c>
      <c r="O341" s="6" t="s">
        <v>147</v>
      </c>
      <c r="P341" t="s">
        <v>196</v>
      </c>
      <c r="Q341" s="3">
        <v>12</v>
      </c>
      <c r="R341" s="5">
        <v>3.3333000000000002E-2</v>
      </c>
      <c r="S341" s="6" t="s">
        <v>143</v>
      </c>
      <c r="T341" t="s">
        <v>21</v>
      </c>
    </row>
    <row r="342" spans="1:20" x14ac:dyDescent="0.25">
      <c r="A342" t="s">
        <v>15</v>
      </c>
      <c r="B342" t="s">
        <v>80</v>
      </c>
      <c r="C342" t="s">
        <v>81</v>
      </c>
      <c r="D342" t="s">
        <v>82</v>
      </c>
      <c r="E342" t="s">
        <v>24</v>
      </c>
      <c r="F342" t="s">
        <v>19</v>
      </c>
      <c r="G342" s="2">
        <v>46051</v>
      </c>
      <c r="H342" s="2">
        <v>46155</v>
      </c>
      <c r="I342" s="3">
        <v>6092706</v>
      </c>
      <c r="J342" t="s">
        <v>20</v>
      </c>
      <c r="K342" s="1">
        <v>46142</v>
      </c>
      <c r="L342" s="3">
        <v>6152841</v>
      </c>
      <c r="M342" s="3">
        <v>6136089.4757310003</v>
      </c>
      <c r="N342" s="3">
        <v>6136089.4757310003</v>
      </c>
      <c r="O342" s="6" t="s">
        <v>452</v>
      </c>
      <c r="P342" t="s">
        <v>196</v>
      </c>
      <c r="Q342" s="3">
        <v>13</v>
      </c>
      <c r="R342" s="5">
        <v>3.6110999999999997E-2</v>
      </c>
      <c r="S342" s="6" t="s">
        <v>143</v>
      </c>
      <c r="T342" t="s">
        <v>21</v>
      </c>
    </row>
    <row r="343" spans="1:20" x14ac:dyDescent="0.25">
      <c r="A343" t="s">
        <v>15</v>
      </c>
      <c r="B343" t="s">
        <v>80</v>
      </c>
      <c r="C343" t="s">
        <v>81</v>
      </c>
      <c r="D343" t="s">
        <v>82</v>
      </c>
      <c r="E343" t="s">
        <v>25</v>
      </c>
      <c r="F343" t="s">
        <v>19</v>
      </c>
      <c r="G343" s="2">
        <v>46051</v>
      </c>
      <c r="H343" s="2">
        <v>46156</v>
      </c>
      <c r="I343" s="3">
        <v>1061628</v>
      </c>
      <c r="J343" t="s">
        <v>20</v>
      </c>
      <c r="K343" s="1">
        <v>46142</v>
      </c>
      <c r="L343" s="3">
        <v>1076809</v>
      </c>
      <c r="M343" s="3">
        <v>1073552.557243</v>
      </c>
      <c r="N343" s="3">
        <v>1073552.557243</v>
      </c>
      <c r="O343" s="6" t="s">
        <v>452</v>
      </c>
      <c r="P343" t="s">
        <v>196</v>
      </c>
      <c r="Q343" s="3">
        <v>14</v>
      </c>
      <c r="R343" s="5">
        <v>3.8887999999999999E-2</v>
      </c>
      <c r="S343" s="6" t="s">
        <v>143</v>
      </c>
      <c r="T343" t="s">
        <v>21</v>
      </c>
    </row>
    <row r="344" spans="1:20" x14ac:dyDescent="0.25">
      <c r="A344" t="s">
        <v>15</v>
      </c>
      <c r="B344" t="s">
        <v>80</v>
      </c>
      <c r="C344" t="s">
        <v>81</v>
      </c>
      <c r="D344" t="s">
        <v>82</v>
      </c>
      <c r="E344" t="s">
        <v>25</v>
      </c>
      <c r="F344" t="s">
        <v>19</v>
      </c>
      <c r="G344" s="2">
        <v>46051</v>
      </c>
      <c r="H344" s="2">
        <v>46156</v>
      </c>
      <c r="I344" s="3">
        <v>24790620</v>
      </c>
      <c r="J344" t="s">
        <v>20</v>
      </c>
      <c r="K344" s="1">
        <v>46142</v>
      </c>
      <c r="L344" s="3">
        <v>24868710</v>
      </c>
      <c r="M344" s="3">
        <v>24795810.317666002</v>
      </c>
      <c r="N344" s="3">
        <v>24795810.317666002</v>
      </c>
      <c r="O344" s="6" t="s">
        <v>452</v>
      </c>
      <c r="P344" t="s">
        <v>196</v>
      </c>
      <c r="Q344" s="3">
        <v>14</v>
      </c>
      <c r="R344" s="5">
        <v>3.8887999999999999E-2</v>
      </c>
      <c r="S344" s="6" t="s">
        <v>143</v>
      </c>
      <c r="T344" t="s">
        <v>21</v>
      </c>
    </row>
    <row r="345" spans="1:20" x14ac:dyDescent="0.25">
      <c r="A345" t="s">
        <v>15</v>
      </c>
      <c r="B345" t="s">
        <v>80</v>
      </c>
      <c r="C345" t="s">
        <v>81</v>
      </c>
      <c r="D345" t="s">
        <v>82</v>
      </c>
      <c r="E345" t="s">
        <v>25</v>
      </c>
      <c r="F345" t="s">
        <v>19</v>
      </c>
      <c r="G345" s="2">
        <v>46051</v>
      </c>
      <c r="H345" s="2">
        <v>46156</v>
      </c>
      <c r="I345" s="3">
        <v>51242652</v>
      </c>
      <c r="J345" t="s">
        <v>20</v>
      </c>
      <c r="K345" s="1">
        <v>46142</v>
      </c>
      <c r="L345" s="3">
        <v>51975422</v>
      </c>
      <c r="M345" s="3">
        <v>51818240.005317003</v>
      </c>
      <c r="N345" s="3">
        <v>51818240.005317003</v>
      </c>
      <c r="O345" s="6" t="s">
        <v>452</v>
      </c>
      <c r="P345" t="s">
        <v>196</v>
      </c>
      <c r="Q345" s="3">
        <v>14</v>
      </c>
      <c r="R345" s="5">
        <v>3.8887999999999999E-2</v>
      </c>
      <c r="S345" s="6" t="s">
        <v>143</v>
      </c>
      <c r="T345" t="s">
        <v>21</v>
      </c>
    </row>
    <row r="346" spans="1:20" x14ac:dyDescent="0.25">
      <c r="A346" t="s">
        <v>15</v>
      </c>
      <c r="B346" t="s">
        <v>80</v>
      </c>
      <c r="C346" t="s">
        <v>81</v>
      </c>
      <c r="D346" t="s">
        <v>82</v>
      </c>
      <c r="E346" t="s">
        <v>26</v>
      </c>
      <c r="F346" t="s">
        <v>19</v>
      </c>
      <c r="G346" s="2">
        <v>46052</v>
      </c>
      <c r="H346" s="2">
        <v>46157</v>
      </c>
      <c r="I346" s="3">
        <v>39991424</v>
      </c>
      <c r="J346" t="s">
        <v>20</v>
      </c>
      <c r="K346" s="1">
        <v>46142</v>
      </c>
      <c r="L346" s="3">
        <v>40571966</v>
      </c>
      <c r="M346" s="3">
        <v>40440534.263642997</v>
      </c>
      <c r="N346" s="3">
        <v>40440534.263642997</v>
      </c>
      <c r="O346" s="6" t="s">
        <v>521</v>
      </c>
      <c r="P346" t="s">
        <v>196</v>
      </c>
      <c r="Q346" s="3">
        <v>15</v>
      </c>
      <c r="R346" s="5">
        <v>4.1666000000000002E-2</v>
      </c>
      <c r="S346" s="6" t="s">
        <v>143</v>
      </c>
      <c r="T346" t="s">
        <v>21</v>
      </c>
    </row>
    <row r="347" spans="1:20" x14ac:dyDescent="0.25">
      <c r="A347" t="s">
        <v>15</v>
      </c>
      <c r="B347" t="s">
        <v>80</v>
      </c>
      <c r="C347" t="s">
        <v>81</v>
      </c>
      <c r="D347" t="s">
        <v>82</v>
      </c>
      <c r="E347" t="s">
        <v>26</v>
      </c>
      <c r="F347" t="s">
        <v>19</v>
      </c>
      <c r="G347" s="2">
        <v>46052</v>
      </c>
      <c r="H347" s="2">
        <v>46157</v>
      </c>
      <c r="I347" s="3">
        <v>9109992</v>
      </c>
      <c r="J347" t="s">
        <v>20</v>
      </c>
      <c r="K347" s="1">
        <v>46142</v>
      </c>
      <c r="L347" s="3">
        <v>9207560</v>
      </c>
      <c r="M347" s="3">
        <v>9178647.2611270007</v>
      </c>
      <c r="N347" s="3">
        <v>9178647.2611270007</v>
      </c>
      <c r="O347" s="6" t="s">
        <v>521</v>
      </c>
      <c r="P347" t="s">
        <v>196</v>
      </c>
      <c r="Q347" s="3">
        <v>15</v>
      </c>
      <c r="R347" s="5">
        <v>4.1666000000000002E-2</v>
      </c>
      <c r="S347" s="6" t="s">
        <v>143</v>
      </c>
      <c r="T347" t="s">
        <v>21</v>
      </c>
    </row>
    <row r="348" spans="1:20" x14ac:dyDescent="0.25">
      <c r="A348" t="s">
        <v>15</v>
      </c>
      <c r="B348" t="s">
        <v>80</v>
      </c>
      <c r="C348" t="s">
        <v>81</v>
      </c>
      <c r="D348" t="s">
        <v>82</v>
      </c>
      <c r="E348" t="s">
        <v>1296</v>
      </c>
      <c r="F348" t="s">
        <v>19</v>
      </c>
      <c r="G348" s="2">
        <v>46092</v>
      </c>
      <c r="H348" s="2">
        <v>46190</v>
      </c>
      <c r="I348" s="3">
        <v>7946443</v>
      </c>
      <c r="J348" t="s">
        <v>20</v>
      </c>
      <c r="K348" s="1">
        <v>46142</v>
      </c>
      <c r="L348" s="3">
        <v>8038224</v>
      </c>
      <c r="M348" s="3">
        <v>7958007.2865519999</v>
      </c>
      <c r="N348" s="3">
        <v>7958007.2865519999</v>
      </c>
      <c r="O348" s="6" t="s">
        <v>454</v>
      </c>
      <c r="P348" t="s">
        <v>196</v>
      </c>
      <c r="Q348" s="3">
        <v>48</v>
      </c>
      <c r="R348" s="5">
        <v>0.13333300000000001</v>
      </c>
      <c r="S348" s="6" t="s">
        <v>145</v>
      </c>
      <c r="T348" t="s">
        <v>21</v>
      </c>
    </row>
    <row r="349" spans="1:20" x14ac:dyDescent="0.25">
      <c r="A349" t="s">
        <v>15</v>
      </c>
      <c r="B349" t="s">
        <v>80</v>
      </c>
      <c r="C349" t="s">
        <v>81</v>
      </c>
      <c r="D349" t="s">
        <v>82</v>
      </c>
      <c r="E349" t="s">
        <v>27</v>
      </c>
      <c r="F349" t="s">
        <v>19</v>
      </c>
      <c r="G349" s="2">
        <v>46052</v>
      </c>
      <c r="H349" s="2">
        <v>46160</v>
      </c>
      <c r="I349" s="3">
        <v>7039047</v>
      </c>
      <c r="J349" t="s">
        <v>20</v>
      </c>
      <c r="K349" s="1">
        <v>46142</v>
      </c>
      <c r="L349" s="3">
        <v>7145806</v>
      </c>
      <c r="M349" s="3">
        <v>7118045.6220739996</v>
      </c>
      <c r="N349" s="3">
        <v>7118045.6220739996</v>
      </c>
      <c r="O349" s="6" t="s">
        <v>452</v>
      </c>
      <c r="P349" t="s">
        <v>196</v>
      </c>
      <c r="Q349" s="3">
        <v>18</v>
      </c>
      <c r="R349" s="5">
        <v>0.05</v>
      </c>
      <c r="S349" s="6" t="s">
        <v>143</v>
      </c>
      <c r="T349" t="s">
        <v>21</v>
      </c>
    </row>
    <row r="350" spans="1:20" x14ac:dyDescent="0.25">
      <c r="A350" t="s">
        <v>15</v>
      </c>
      <c r="B350" t="s">
        <v>80</v>
      </c>
      <c r="C350" t="s">
        <v>81</v>
      </c>
      <c r="D350" t="s">
        <v>82</v>
      </c>
      <c r="E350" t="s">
        <v>27</v>
      </c>
      <c r="F350" t="s">
        <v>19</v>
      </c>
      <c r="G350" s="2">
        <v>46052</v>
      </c>
      <c r="H350" s="2">
        <v>46160</v>
      </c>
      <c r="I350" s="3">
        <v>3450734</v>
      </c>
      <c r="J350" t="s">
        <v>20</v>
      </c>
      <c r="K350" s="1">
        <v>46142</v>
      </c>
      <c r="L350" s="3">
        <v>3503070</v>
      </c>
      <c r="M350" s="3">
        <v>3489461.1017029998</v>
      </c>
      <c r="N350" s="3">
        <v>3489461.1017029998</v>
      </c>
      <c r="O350" s="6" t="s">
        <v>452</v>
      </c>
      <c r="P350" t="s">
        <v>196</v>
      </c>
      <c r="Q350" s="3">
        <v>18</v>
      </c>
      <c r="R350" s="5">
        <v>0.05</v>
      </c>
      <c r="S350" s="6" t="s">
        <v>143</v>
      </c>
      <c r="T350" t="s">
        <v>21</v>
      </c>
    </row>
    <row r="351" spans="1:20" x14ac:dyDescent="0.25">
      <c r="A351" t="s">
        <v>15</v>
      </c>
      <c r="B351" t="s">
        <v>80</v>
      </c>
      <c r="C351" t="s">
        <v>81</v>
      </c>
      <c r="D351" t="s">
        <v>82</v>
      </c>
      <c r="E351" t="s">
        <v>27</v>
      </c>
      <c r="F351" t="s">
        <v>19</v>
      </c>
      <c r="G351" s="2">
        <v>46052</v>
      </c>
      <c r="H351" s="2">
        <v>46160</v>
      </c>
      <c r="I351" s="3">
        <v>6201912</v>
      </c>
      <c r="J351" t="s">
        <v>20</v>
      </c>
      <c r="K351" s="1">
        <v>46142</v>
      </c>
      <c r="L351" s="3">
        <v>6295974</v>
      </c>
      <c r="M351" s="3">
        <v>6271515.0911450004</v>
      </c>
      <c r="N351" s="3">
        <v>6271515.0911450004</v>
      </c>
      <c r="O351" s="6" t="s">
        <v>452</v>
      </c>
      <c r="P351" t="s">
        <v>196</v>
      </c>
      <c r="Q351" s="3">
        <v>18</v>
      </c>
      <c r="R351" s="5">
        <v>0.05</v>
      </c>
      <c r="S351" s="6" t="s">
        <v>143</v>
      </c>
      <c r="T351" t="s">
        <v>21</v>
      </c>
    </row>
    <row r="352" spans="1:20" x14ac:dyDescent="0.25">
      <c r="A352" t="s">
        <v>15</v>
      </c>
      <c r="B352" t="s">
        <v>80</v>
      </c>
      <c r="C352" t="s">
        <v>81</v>
      </c>
      <c r="D352" t="s">
        <v>82</v>
      </c>
      <c r="E352" t="s">
        <v>1298</v>
      </c>
      <c r="F352" t="s">
        <v>19</v>
      </c>
      <c r="G352" s="2">
        <v>46098</v>
      </c>
      <c r="H352" s="2">
        <v>46196</v>
      </c>
      <c r="I352" s="3">
        <v>16519475</v>
      </c>
      <c r="J352" t="s">
        <v>20</v>
      </c>
      <c r="K352" s="1">
        <v>46142</v>
      </c>
      <c r="L352" s="3">
        <v>16859446</v>
      </c>
      <c r="M352" s="3">
        <v>16670403.622916</v>
      </c>
      <c r="N352" s="3">
        <v>16670403.622916</v>
      </c>
      <c r="O352" s="6" t="s">
        <v>248</v>
      </c>
      <c r="P352" t="s">
        <v>196</v>
      </c>
      <c r="Q352" s="3">
        <v>54</v>
      </c>
      <c r="R352" s="5">
        <v>0.15</v>
      </c>
      <c r="S352" s="6" t="s">
        <v>145</v>
      </c>
      <c r="T352" t="s">
        <v>21</v>
      </c>
    </row>
    <row r="353" spans="1:20" x14ac:dyDescent="0.25">
      <c r="A353" t="s">
        <v>15</v>
      </c>
      <c r="B353" t="s">
        <v>80</v>
      </c>
      <c r="C353" t="s">
        <v>81</v>
      </c>
      <c r="D353" t="s">
        <v>82</v>
      </c>
      <c r="E353" t="s">
        <v>1345</v>
      </c>
      <c r="F353" t="s">
        <v>19</v>
      </c>
      <c r="G353" s="2">
        <v>46128</v>
      </c>
      <c r="H353" s="2">
        <v>46227</v>
      </c>
      <c r="I353" s="3">
        <v>12175519</v>
      </c>
      <c r="J353" t="s">
        <v>20</v>
      </c>
      <c r="K353" s="1">
        <v>46142</v>
      </c>
      <c r="L353" s="3">
        <v>12428648</v>
      </c>
      <c r="M353" s="3">
        <v>12210687.232892999</v>
      </c>
      <c r="N353" s="3">
        <v>12210687.232892999</v>
      </c>
      <c r="O353" s="6" t="s">
        <v>147</v>
      </c>
      <c r="P353" t="s">
        <v>196</v>
      </c>
      <c r="Q353" s="3">
        <v>85</v>
      </c>
      <c r="R353" s="5">
        <v>0.23611099999999999</v>
      </c>
      <c r="S353" s="6" t="s">
        <v>145</v>
      </c>
      <c r="T353" t="s">
        <v>21</v>
      </c>
    </row>
    <row r="354" spans="1:20" x14ac:dyDescent="0.25">
      <c r="A354" t="s">
        <v>15</v>
      </c>
      <c r="B354" t="s">
        <v>80</v>
      </c>
      <c r="C354" t="s">
        <v>81</v>
      </c>
      <c r="D354" t="s">
        <v>82</v>
      </c>
      <c r="E354" t="s">
        <v>1345</v>
      </c>
      <c r="F354" t="s">
        <v>19</v>
      </c>
      <c r="G354" s="2">
        <v>46128</v>
      </c>
      <c r="H354" s="2">
        <v>46227</v>
      </c>
      <c r="I354" s="3">
        <v>15445547</v>
      </c>
      <c r="J354" t="s">
        <v>20</v>
      </c>
      <c r="K354" s="1">
        <v>46142</v>
      </c>
      <c r="L354" s="3">
        <v>15766660</v>
      </c>
      <c r="M354" s="3">
        <v>15490160.632706</v>
      </c>
      <c r="N354" s="3">
        <v>15490160.632706</v>
      </c>
      <c r="O354" s="6" t="s">
        <v>147</v>
      </c>
      <c r="P354" t="s">
        <v>196</v>
      </c>
      <c r="Q354" s="3">
        <v>85</v>
      </c>
      <c r="R354" s="5">
        <v>0.23611099999999999</v>
      </c>
      <c r="S354" s="6" t="s">
        <v>145</v>
      </c>
      <c r="T354" t="s">
        <v>21</v>
      </c>
    </row>
    <row r="355" spans="1:20" x14ac:dyDescent="0.25">
      <c r="A355" t="s">
        <v>15</v>
      </c>
      <c r="B355" t="s">
        <v>80</v>
      </c>
      <c r="C355" t="s">
        <v>81</v>
      </c>
      <c r="D355" t="s">
        <v>82</v>
      </c>
      <c r="E355" t="s">
        <v>40</v>
      </c>
      <c r="F355" t="s">
        <v>19</v>
      </c>
      <c r="G355" s="2">
        <v>46063</v>
      </c>
      <c r="H355" s="2">
        <v>46168</v>
      </c>
      <c r="I355" s="3">
        <v>21407222</v>
      </c>
      <c r="J355" t="s">
        <v>20</v>
      </c>
      <c r="K355" s="1">
        <v>46142</v>
      </c>
      <c r="L355" s="3">
        <v>21769004</v>
      </c>
      <c r="M355" s="3">
        <v>21647058.901521001</v>
      </c>
      <c r="N355" s="3">
        <v>21647058.901521001</v>
      </c>
      <c r="O355" s="6" t="s">
        <v>142</v>
      </c>
      <c r="P355" t="s">
        <v>196</v>
      </c>
      <c r="Q355" s="3">
        <v>26</v>
      </c>
      <c r="R355" s="5">
        <v>7.2221999999999995E-2</v>
      </c>
      <c r="S355" s="6" t="s">
        <v>143</v>
      </c>
      <c r="T355" t="s">
        <v>21</v>
      </c>
    </row>
    <row r="356" spans="1:20" x14ac:dyDescent="0.25">
      <c r="A356" t="s">
        <v>15</v>
      </c>
      <c r="B356" t="s">
        <v>80</v>
      </c>
      <c r="C356" t="s">
        <v>81</v>
      </c>
      <c r="D356" t="s">
        <v>82</v>
      </c>
      <c r="E356" t="s">
        <v>41</v>
      </c>
      <c r="F356" t="s">
        <v>19</v>
      </c>
      <c r="G356" s="2">
        <v>46064</v>
      </c>
      <c r="H356" s="2">
        <v>46169</v>
      </c>
      <c r="I356" s="3">
        <v>3131869</v>
      </c>
      <c r="J356" t="s">
        <v>20</v>
      </c>
      <c r="K356" s="1">
        <v>46142</v>
      </c>
      <c r="L356" s="3">
        <v>3185476</v>
      </c>
      <c r="M356" s="3">
        <v>3166949.346324</v>
      </c>
      <c r="N356" s="3">
        <v>3166949.346324</v>
      </c>
      <c r="O356" s="6" t="s">
        <v>521</v>
      </c>
      <c r="P356" t="s">
        <v>196</v>
      </c>
      <c r="Q356" s="3">
        <v>27</v>
      </c>
      <c r="R356" s="5">
        <v>7.4999999999999997E-2</v>
      </c>
      <c r="S356" s="6" t="s">
        <v>143</v>
      </c>
      <c r="T356" t="s">
        <v>21</v>
      </c>
    </row>
    <row r="357" spans="1:20" x14ac:dyDescent="0.25">
      <c r="A357" t="s">
        <v>15</v>
      </c>
      <c r="B357" t="s">
        <v>80</v>
      </c>
      <c r="C357" t="s">
        <v>81</v>
      </c>
      <c r="D357" t="s">
        <v>82</v>
      </c>
      <c r="E357" t="s">
        <v>29</v>
      </c>
      <c r="F357" t="s">
        <v>19</v>
      </c>
      <c r="G357" s="2">
        <v>46080</v>
      </c>
      <c r="H357" s="2">
        <v>46171</v>
      </c>
      <c r="I357" s="3">
        <v>16151564</v>
      </c>
      <c r="J357" t="s">
        <v>20</v>
      </c>
      <c r="K357" s="1">
        <v>46142</v>
      </c>
      <c r="L357" s="3">
        <v>16321155</v>
      </c>
      <c r="M357" s="3">
        <v>16222360.822590001</v>
      </c>
      <c r="N357" s="3">
        <v>16222360.822590001</v>
      </c>
      <c r="O357" s="6" t="s">
        <v>140</v>
      </c>
      <c r="P357" t="s">
        <v>201</v>
      </c>
      <c r="Q357" s="3">
        <v>29</v>
      </c>
      <c r="R357" s="5">
        <v>8.0555000000000002E-2</v>
      </c>
      <c r="S357" s="6" t="s">
        <v>143</v>
      </c>
      <c r="T357" t="s">
        <v>21</v>
      </c>
    </row>
    <row r="358" spans="1:20" x14ac:dyDescent="0.25">
      <c r="A358" t="s">
        <v>15</v>
      </c>
      <c r="B358" t="s">
        <v>80</v>
      </c>
      <c r="C358" t="s">
        <v>81</v>
      </c>
      <c r="D358" t="s">
        <v>82</v>
      </c>
      <c r="E358" t="s">
        <v>1348</v>
      </c>
      <c r="F358" t="s">
        <v>19</v>
      </c>
      <c r="G358" s="2">
        <v>46134</v>
      </c>
      <c r="H358" s="2">
        <v>46233</v>
      </c>
      <c r="I358" s="3">
        <v>120139611</v>
      </c>
      <c r="J358" t="s">
        <v>20</v>
      </c>
      <c r="K358" s="1">
        <v>46142</v>
      </c>
      <c r="L358" s="3">
        <v>122637314</v>
      </c>
      <c r="M358" s="3">
        <v>120337661.292697</v>
      </c>
      <c r="N358" s="3">
        <v>120337661.292697</v>
      </c>
      <c r="O358" s="6" t="s">
        <v>147</v>
      </c>
      <c r="P358" t="s">
        <v>196</v>
      </c>
      <c r="Q358" s="3">
        <v>91</v>
      </c>
      <c r="R358" s="5">
        <v>0.25277699999999997</v>
      </c>
      <c r="S358" s="6" t="s">
        <v>141</v>
      </c>
      <c r="T358" t="s">
        <v>21</v>
      </c>
    </row>
    <row r="359" spans="1:20" x14ac:dyDescent="0.25">
      <c r="A359" t="s">
        <v>15</v>
      </c>
      <c r="B359" t="s">
        <v>80</v>
      </c>
      <c r="C359" t="s">
        <v>81</v>
      </c>
      <c r="D359" t="s">
        <v>82</v>
      </c>
      <c r="E359" t="s">
        <v>43</v>
      </c>
      <c r="F359" t="s">
        <v>19</v>
      </c>
      <c r="G359" s="2">
        <v>46043</v>
      </c>
      <c r="H359" s="2">
        <v>46146</v>
      </c>
      <c r="I359" s="3">
        <v>8314832</v>
      </c>
      <c r="J359" t="s">
        <v>20</v>
      </c>
      <c r="K359" s="1">
        <v>46142</v>
      </c>
      <c r="L359" s="3">
        <v>8415719</v>
      </c>
      <c r="M359" s="3">
        <v>8408431.6925329994</v>
      </c>
      <c r="N359" s="3">
        <v>8408431.6925329994</v>
      </c>
      <c r="O359" s="6"/>
      <c r="P359" t="s">
        <v>196</v>
      </c>
      <c r="Q359" s="3">
        <v>4</v>
      </c>
      <c r="R359" s="5">
        <v>1.1110999999999999E-2</v>
      </c>
      <c r="S359" s="6" t="s">
        <v>143</v>
      </c>
      <c r="T359" t="s">
        <v>21</v>
      </c>
    </row>
    <row r="360" spans="1:20" x14ac:dyDescent="0.25">
      <c r="A360" t="s">
        <v>15</v>
      </c>
      <c r="B360" t="s">
        <v>80</v>
      </c>
      <c r="C360" t="s">
        <v>81</v>
      </c>
      <c r="D360" t="s">
        <v>82</v>
      </c>
      <c r="E360" t="s">
        <v>43</v>
      </c>
      <c r="F360" t="s">
        <v>19</v>
      </c>
      <c r="G360" s="2">
        <v>46043</v>
      </c>
      <c r="H360" s="2">
        <v>46146</v>
      </c>
      <c r="I360" s="3">
        <v>9000000</v>
      </c>
      <c r="J360" t="s">
        <v>20</v>
      </c>
      <c r="K360" s="1">
        <v>46142</v>
      </c>
      <c r="L360" s="3">
        <v>9062370</v>
      </c>
      <c r="M360" s="3">
        <v>9054763.9982409999</v>
      </c>
      <c r="N360" s="3">
        <v>9054763.9982409999</v>
      </c>
      <c r="O360" s="6"/>
      <c r="P360" t="s">
        <v>196</v>
      </c>
      <c r="Q360" s="3">
        <v>4</v>
      </c>
      <c r="R360" s="5">
        <v>1.1110999999999999E-2</v>
      </c>
      <c r="S360" s="6" t="s">
        <v>143</v>
      </c>
      <c r="T360" t="s">
        <v>21</v>
      </c>
    </row>
    <row r="361" spans="1:20" x14ac:dyDescent="0.25">
      <c r="A361" t="s">
        <v>15</v>
      </c>
      <c r="B361" t="s">
        <v>80</v>
      </c>
      <c r="C361" t="s">
        <v>81</v>
      </c>
      <c r="D361" t="s">
        <v>82</v>
      </c>
      <c r="E361" t="s">
        <v>1350</v>
      </c>
      <c r="F361" t="s">
        <v>19</v>
      </c>
      <c r="G361" s="2">
        <v>46139</v>
      </c>
      <c r="H361" s="2">
        <v>46238</v>
      </c>
      <c r="I361" s="3">
        <v>42282240</v>
      </c>
      <c r="J361" t="s">
        <v>20</v>
      </c>
      <c r="K361" s="1">
        <v>46142</v>
      </c>
      <c r="L361" s="3">
        <v>43161288</v>
      </c>
      <c r="M361" s="3">
        <v>42308351.631117001</v>
      </c>
      <c r="N361" s="3">
        <v>42308351.631117001</v>
      </c>
      <c r="O361" s="6"/>
      <c r="P361" t="s">
        <v>196</v>
      </c>
      <c r="Q361" s="3">
        <v>96</v>
      </c>
      <c r="R361" s="5">
        <v>0.26666600000000001</v>
      </c>
      <c r="S361" s="6" t="s">
        <v>141</v>
      </c>
      <c r="T361" t="s">
        <v>21</v>
      </c>
    </row>
    <row r="362" spans="1:20" x14ac:dyDescent="0.25">
      <c r="A362" t="s">
        <v>15</v>
      </c>
      <c r="B362" t="s">
        <v>80</v>
      </c>
      <c r="C362" t="s">
        <v>81</v>
      </c>
      <c r="D362" t="s">
        <v>82</v>
      </c>
      <c r="E362" t="s">
        <v>1365</v>
      </c>
      <c r="F362" t="s">
        <v>19</v>
      </c>
      <c r="G362" s="2">
        <v>46141</v>
      </c>
      <c r="H362" s="2">
        <v>46244</v>
      </c>
      <c r="I362" s="3">
        <v>241969901</v>
      </c>
      <c r="J362" t="s">
        <v>20</v>
      </c>
      <c r="K362" s="1">
        <v>46142</v>
      </c>
      <c r="L362" s="3">
        <v>247203710</v>
      </c>
      <c r="M362" s="3">
        <v>242019649.11593699</v>
      </c>
      <c r="N362" s="3">
        <v>242019649.11593699</v>
      </c>
      <c r="O362" s="6" t="s">
        <v>165</v>
      </c>
      <c r="P362" t="s">
        <v>196</v>
      </c>
      <c r="Q362" s="3">
        <v>102</v>
      </c>
      <c r="R362" s="5">
        <v>0.283333</v>
      </c>
      <c r="S362" s="6" t="s">
        <v>141</v>
      </c>
      <c r="T362" t="s">
        <v>21</v>
      </c>
    </row>
    <row r="363" spans="1:20" x14ac:dyDescent="0.25">
      <c r="A363" t="s">
        <v>15</v>
      </c>
      <c r="B363" t="s">
        <v>80</v>
      </c>
      <c r="C363" t="s">
        <v>81</v>
      </c>
      <c r="D363" t="s">
        <v>82</v>
      </c>
      <c r="E363" t="s">
        <v>47</v>
      </c>
      <c r="F363" t="s">
        <v>19</v>
      </c>
      <c r="G363" s="2">
        <v>46052</v>
      </c>
      <c r="H363" s="2">
        <v>46155</v>
      </c>
      <c r="I363" s="3">
        <v>25000000</v>
      </c>
      <c r="J363" t="s">
        <v>20</v>
      </c>
      <c r="K363" s="1">
        <v>46142</v>
      </c>
      <c r="L363" s="3">
        <v>25157500</v>
      </c>
      <c r="M363" s="3">
        <v>25089007.01086</v>
      </c>
      <c r="N363" s="3">
        <v>25089007.01086</v>
      </c>
      <c r="O363" s="6" t="s">
        <v>1282</v>
      </c>
      <c r="P363" t="s">
        <v>201</v>
      </c>
      <c r="Q363" s="3">
        <v>13</v>
      </c>
      <c r="R363" s="5">
        <v>3.6110999999999997E-2</v>
      </c>
      <c r="S363" s="6" t="s">
        <v>143</v>
      </c>
      <c r="T363" t="s">
        <v>21</v>
      </c>
    </row>
    <row r="364" spans="1:20" x14ac:dyDescent="0.25">
      <c r="A364" t="s">
        <v>15</v>
      </c>
      <c r="B364" t="s">
        <v>80</v>
      </c>
      <c r="C364" t="s">
        <v>81</v>
      </c>
      <c r="D364" t="s">
        <v>82</v>
      </c>
      <c r="E364" t="s">
        <v>1356</v>
      </c>
      <c r="F364" t="s">
        <v>19</v>
      </c>
      <c r="G364" s="2">
        <v>46127</v>
      </c>
      <c r="H364" s="2">
        <v>46226</v>
      </c>
      <c r="I364" s="3">
        <v>71401791</v>
      </c>
      <c r="J364" t="s">
        <v>20</v>
      </c>
      <c r="K364" s="1">
        <v>46142</v>
      </c>
      <c r="L364" s="3">
        <v>72886234</v>
      </c>
      <c r="M364" s="3">
        <v>71622807.672654003</v>
      </c>
      <c r="N364" s="3">
        <v>71622807.672654003</v>
      </c>
      <c r="O364" s="6"/>
      <c r="P364" t="s">
        <v>196</v>
      </c>
      <c r="Q364" s="3">
        <v>84</v>
      </c>
      <c r="R364" s="5">
        <v>0.23333300000000001</v>
      </c>
      <c r="S364" s="6" t="s">
        <v>145</v>
      </c>
      <c r="T364" t="s">
        <v>21</v>
      </c>
    </row>
    <row r="365" spans="1:20" x14ac:dyDescent="0.25">
      <c r="A365" t="s">
        <v>15</v>
      </c>
      <c r="B365" t="s">
        <v>80</v>
      </c>
      <c r="C365" t="s">
        <v>81</v>
      </c>
      <c r="D365" t="s">
        <v>82</v>
      </c>
      <c r="E365" t="s">
        <v>83</v>
      </c>
      <c r="F365" t="s">
        <v>52</v>
      </c>
      <c r="G365" s="2">
        <v>46058</v>
      </c>
      <c r="H365" s="2">
        <v>46157</v>
      </c>
      <c r="I365" s="3">
        <v>3184058</v>
      </c>
      <c r="J365" t="s">
        <v>53</v>
      </c>
      <c r="K365" s="1">
        <v>46142</v>
      </c>
      <c r="L365" s="3">
        <v>80.437200000000004</v>
      </c>
      <c r="M365" s="3">
        <v>80.403698000000006</v>
      </c>
      <c r="N365" s="3">
        <v>3225812.4629139998</v>
      </c>
      <c r="O365" s="6" t="s">
        <v>175</v>
      </c>
      <c r="P365" t="s">
        <v>208</v>
      </c>
      <c r="Q365" s="3">
        <v>15</v>
      </c>
      <c r="R365" s="5">
        <v>4.1666000000000002E-2</v>
      </c>
      <c r="S365" s="6" t="s">
        <v>143</v>
      </c>
      <c r="T365" t="s">
        <v>21</v>
      </c>
    </row>
    <row r="366" spans="1:20" x14ac:dyDescent="0.25">
      <c r="A366" t="s">
        <v>54</v>
      </c>
      <c r="B366" t="s">
        <v>84</v>
      </c>
      <c r="C366" t="s">
        <v>85</v>
      </c>
      <c r="D366" t="s">
        <v>86</v>
      </c>
      <c r="E366" t="s">
        <v>87</v>
      </c>
      <c r="F366" t="s">
        <v>88</v>
      </c>
      <c r="G366" s="2">
        <v>45033</v>
      </c>
      <c r="H366" s="2">
        <v>46670</v>
      </c>
      <c r="I366" s="3">
        <v>815284.69</v>
      </c>
      <c r="J366" t="s">
        <v>89</v>
      </c>
      <c r="K366" s="1">
        <v>46142</v>
      </c>
      <c r="L366" s="3">
        <v>1132967.26</v>
      </c>
      <c r="M366" s="3">
        <v>824377.07945299998</v>
      </c>
      <c r="N366" s="3">
        <v>743390275.16753399</v>
      </c>
      <c r="O366" s="6"/>
      <c r="P366" t="s">
        <v>196</v>
      </c>
      <c r="Q366" s="3">
        <v>528</v>
      </c>
      <c r="R366" s="5">
        <v>1.466666</v>
      </c>
      <c r="S366" s="6" t="s">
        <v>176</v>
      </c>
      <c r="T366" t="s">
        <v>21</v>
      </c>
    </row>
    <row r="367" spans="1:20" x14ac:dyDescent="0.25">
      <c r="A367" t="s">
        <v>54</v>
      </c>
      <c r="B367" t="s">
        <v>84</v>
      </c>
      <c r="C367" t="s">
        <v>85</v>
      </c>
      <c r="D367" t="s">
        <v>86</v>
      </c>
      <c r="E367" t="s">
        <v>1366</v>
      </c>
      <c r="F367" t="s">
        <v>88</v>
      </c>
      <c r="G367" s="2">
        <v>46136</v>
      </c>
      <c r="H367" s="2">
        <v>46237</v>
      </c>
      <c r="I367" s="3">
        <v>123179.6</v>
      </c>
      <c r="J367" t="s">
        <v>90</v>
      </c>
      <c r="K367" s="1">
        <v>46142</v>
      </c>
      <c r="L367" s="3">
        <v>125253.12330000001</v>
      </c>
      <c r="M367" s="3">
        <v>123300.859688</v>
      </c>
      <c r="N367" s="3">
        <v>111187783.232494</v>
      </c>
      <c r="O367" s="6"/>
      <c r="P367" t="s">
        <v>196</v>
      </c>
      <c r="Q367" s="3">
        <v>95</v>
      </c>
      <c r="R367" s="5">
        <v>0.26388800000000001</v>
      </c>
      <c r="S367" s="6" t="s">
        <v>141</v>
      </c>
      <c r="T367" t="s">
        <v>21</v>
      </c>
    </row>
    <row r="368" spans="1:20" x14ac:dyDescent="0.25">
      <c r="A368" t="s">
        <v>54</v>
      </c>
      <c r="B368" t="s">
        <v>84</v>
      </c>
      <c r="C368" t="s">
        <v>85</v>
      </c>
      <c r="D368" t="s">
        <v>86</v>
      </c>
      <c r="E368" t="s">
        <v>1312</v>
      </c>
      <c r="F368" t="s">
        <v>88</v>
      </c>
      <c r="G368" s="2">
        <v>46083</v>
      </c>
      <c r="H368" s="2">
        <v>46177</v>
      </c>
      <c r="I368" s="3">
        <v>15530.134099999999</v>
      </c>
      <c r="J368" t="s">
        <v>90</v>
      </c>
      <c r="K368" s="1">
        <v>46142</v>
      </c>
      <c r="L368" s="3">
        <v>15773.4395</v>
      </c>
      <c r="M368" s="3">
        <v>15681.961391999999</v>
      </c>
      <c r="N368" s="3">
        <v>14141365.504742</v>
      </c>
      <c r="O368" s="6"/>
      <c r="P368" t="s">
        <v>196</v>
      </c>
      <c r="Q368" s="3">
        <v>35</v>
      </c>
      <c r="R368" s="5">
        <v>9.7222000000000003E-2</v>
      </c>
      <c r="S368" s="6" t="s">
        <v>145</v>
      </c>
      <c r="T368" t="s">
        <v>21</v>
      </c>
    </row>
    <row r="369" spans="1:20" x14ac:dyDescent="0.25">
      <c r="A369" t="s">
        <v>54</v>
      </c>
      <c r="B369" t="s">
        <v>84</v>
      </c>
      <c r="C369" t="s">
        <v>85</v>
      </c>
      <c r="D369" t="s">
        <v>86</v>
      </c>
      <c r="E369" t="s">
        <v>1367</v>
      </c>
      <c r="F369" t="s">
        <v>88</v>
      </c>
      <c r="G369" s="2">
        <v>46118</v>
      </c>
      <c r="H369" s="2">
        <v>46148</v>
      </c>
      <c r="I369" s="3">
        <v>58000</v>
      </c>
      <c r="J369" t="s">
        <v>90</v>
      </c>
      <c r="K369" s="1">
        <v>46142</v>
      </c>
      <c r="L369" s="3">
        <v>58290</v>
      </c>
      <c r="M369" s="3">
        <v>58231.768232000002</v>
      </c>
      <c r="N369" s="3">
        <v>52511079.320679002</v>
      </c>
      <c r="O369" s="6"/>
      <c r="P369" t="s">
        <v>196</v>
      </c>
      <c r="Q369" s="3">
        <v>6</v>
      </c>
      <c r="R369" s="5">
        <v>1.6666E-2</v>
      </c>
      <c r="S369" s="6" t="s">
        <v>143</v>
      </c>
      <c r="T369" t="s">
        <v>21</v>
      </c>
    </row>
    <row r="370" spans="1:20" x14ac:dyDescent="0.25">
      <c r="A370" t="s">
        <v>54</v>
      </c>
      <c r="B370" t="s">
        <v>84</v>
      </c>
      <c r="C370" t="s">
        <v>85</v>
      </c>
      <c r="D370" t="s">
        <v>86</v>
      </c>
      <c r="E370" t="s">
        <v>1313</v>
      </c>
      <c r="F370" t="s">
        <v>88</v>
      </c>
      <c r="G370" s="2">
        <v>46108</v>
      </c>
      <c r="H370" s="2">
        <v>46209</v>
      </c>
      <c r="I370" s="3">
        <v>176853.65849999999</v>
      </c>
      <c r="J370" t="s">
        <v>90</v>
      </c>
      <c r="K370" s="1">
        <v>46142</v>
      </c>
      <c r="L370" s="3">
        <v>179830.69510000001</v>
      </c>
      <c r="M370" s="3">
        <v>177844.761925</v>
      </c>
      <c r="N370" s="3">
        <v>160373292.51363999</v>
      </c>
      <c r="O370" s="6" t="s">
        <v>397</v>
      </c>
      <c r="P370" t="s">
        <v>196</v>
      </c>
      <c r="Q370" s="3">
        <v>67</v>
      </c>
      <c r="R370" s="5">
        <v>0.186111</v>
      </c>
      <c r="S370" s="6" t="s">
        <v>145</v>
      </c>
      <c r="T370" t="s">
        <v>21</v>
      </c>
    </row>
    <row r="371" spans="1:20" x14ac:dyDescent="0.25">
      <c r="A371" t="s">
        <v>54</v>
      </c>
      <c r="B371" t="s">
        <v>84</v>
      </c>
      <c r="C371" t="s">
        <v>85</v>
      </c>
      <c r="D371" t="s">
        <v>86</v>
      </c>
      <c r="E371" t="s">
        <v>91</v>
      </c>
      <c r="F371" t="s">
        <v>88</v>
      </c>
      <c r="G371" s="2">
        <v>46049</v>
      </c>
      <c r="H371" s="2">
        <v>46149</v>
      </c>
      <c r="I371" s="3">
        <v>148914</v>
      </c>
      <c r="J371" t="s">
        <v>90</v>
      </c>
      <c r="K371" s="1">
        <v>46142</v>
      </c>
      <c r="L371" s="3">
        <v>151395.9</v>
      </c>
      <c r="M371" s="3">
        <v>151219.477277</v>
      </c>
      <c r="N371" s="3">
        <v>136363675.828866</v>
      </c>
      <c r="O371" s="6" t="s">
        <v>177</v>
      </c>
      <c r="P371" t="s">
        <v>196</v>
      </c>
      <c r="Q371" s="3">
        <v>7</v>
      </c>
      <c r="R371" s="5">
        <v>1.9443999999999999E-2</v>
      </c>
      <c r="S371" s="6" t="s">
        <v>143</v>
      </c>
      <c r="T371" t="s">
        <v>21</v>
      </c>
    </row>
    <row r="372" spans="1:20" x14ac:dyDescent="0.25">
      <c r="A372" t="s">
        <v>54</v>
      </c>
      <c r="B372" t="s">
        <v>84</v>
      </c>
      <c r="C372" t="s">
        <v>85</v>
      </c>
      <c r="D372" t="s">
        <v>86</v>
      </c>
      <c r="E372" t="s">
        <v>1314</v>
      </c>
      <c r="F372" t="s">
        <v>88</v>
      </c>
      <c r="G372" s="2">
        <v>46085</v>
      </c>
      <c r="H372" s="2">
        <v>46181</v>
      </c>
      <c r="I372" s="3">
        <v>82562.42</v>
      </c>
      <c r="J372" t="s">
        <v>90</v>
      </c>
      <c r="K372" s="1">
        <v>46142</v>
      </c>
      <c r="L372" s="3">
        <v>83126.5965</v>
      </c>
      <c r="M372" s="3">
        <v>82589.763040000005</v>
      </c>
      <c r="N372" s="3">
        <v>74476144.719164997</v>
      </c>
      <c r="O372" s="6" t="s">
        <v>443</v>
      </c>
      <c r="P372" t="s">
        <v>196</v>
      </c>
      <c r="Q372" s="3">
        <v>39</v>
      </c>
      <c r="R372" s="5">
        <v>0.108333</v>
      </c>
      <c r="S372" s="6" t="s">
        <v>145</v>
      </c>
      <c r="T372" t="s">
        <v>21</v>
      </c>
    </row>
    <row r="373" spans="1:20" x14ac:dyDescent="0.25">
      <c r="A373" t="s">
        <v>54</v>
      </c>
      <c r="B373" t="s">
        <v>84</v>
      </c>
      <c r="C373" t="s">
        <v>85</v>
      </c>
      <c r="D373" t="s">
        <v>86</v>
      </c>
      <c r="E373" t="s">
        <v>1314</v>
      </c>
      <c r="F373" t="s">
        <v>88</v>
      </c>
      <c r="G373" s="2">
        <v>46085</v>
      </c>
      <c r="H373" s="2">
        <v>46181</v>
      </c>
      <c r="I373" s="3">
        <v>479731.44329999998</v>
      </c>
      <c r="J373" t="s">
        <v>90</v>
      </c>
      <c r="K373" s="1">
        <v>46142</v>
      </c>
      <c r="L373" s="3">
        <v>487407.14640000003</v>
      </c>
      <c r="M373" s="3">
        <v>484259.45991099998</v>
      </c>
      <c r="N373" s="3">
        <v>436685810.56896597</v>
      </c>
      <c r="O373" s="6" t="s">
        <v>443</v>
      </c>
      <c r="P373" t="s">
        <v>196</v>
      </c>
      <c r="Q373" s="3">
        <v>39</v>
      </c>
      <c r="R373" s="5">
        <v>0.108333</v>
      </c>
      <c r="S373" s="6" t="s">
        <v>145</v>
      </c>
      <c r="T373" t="s">
        <v>21</v>
      </c>
    </row>
    <row r="374" spans="1:20" x14ac:dyDescent="0.25">
      <c r="A374" t="s">
        <v>54</v>
      </c>
      <c r="B374" t="s">
        <v>84</v>
      </c>
      <c r="C374" t="s">
        <v>85</v>
      </c>
      <c r="D374" t="s">
        <v>86</v>
      </c>
      <c r="E374" t="s">
        <v>1315</v>
      </c>
      <c r="F374" t="s">
        <v>88</v>
      </c>
      <c r="G374" s="2">
        <v>46086</v>
      </c>
      <c r="H374" s="2">
        <v>46182</v>
      </c>
      <c r="I374" s="3">
        <v>7011.0393999999997</v>
      </c>
      <c r="J374" t="s">
        <v>90</v>
      </c>
      <c r="K374" s="1">
        <v>46142</v>
      </c>
      <c r="L374" s="3">
        <v>7123.2160000000003</v>
      </c>
      <c r="M374" s="3">
        <v>7076.0423840000003</v>
      </c>
      <c r="N374" s="3">
        <v>6380891.9802909996</v>
      </c>
      <c r="O374" s="6" t="s">
        <v>192</v>
      </c>
      <c r="P374" t="s">
        <v>196</v>
      </c>
      <c r="Q374" s="3">
        <v>40</v>
      </c>
      <c r="R374" s="5">
        <v>0.111111</v>
      </c>
      <c r="S374" s="6" t="s">
        <v>145</v>
      </c>
      <c r="T374" t="s">
        <v>21</v>
      </c>
    </row>
    <row r="375" spans="1:20" x14ac:dyDescent="0.25">
      <c r="A375" t="s">
        <v>54</v>
      </c>
      <c r="B375" t="s">
        <v>84</v>
      </c>
      <c r="C375" t="s">
        <v>85</v>
      </c>
      <c r="D375" t="s">
        <v>86</v>
      </c>
      <c r="E375" t="s">
        <v>1368</v>
      </c>
      <c r="F375" t="s">
        <v>88</v>
      </c>
      <c r="G375" s="2">
        <v>46142</v>
      </c>
      <c r="H375" s="2">
        <v>46246</v>
      </c>
      <c r="I375" s="3">
        <v>261300</v>
      </c>
      <c r="J375" t="s">
        <v>90</v>
      </c>
      <c r="K375" s="1">
        <v>46142</v>
      </c>
      <c r="L375" s="3">
        <v>265829.2</v>
      </c>
      <c r="M375" s="3">
        <v>261300</v>
      </c>
      <c r="N375" s="3">
        <v>235629888</v>
      </c>
      <c r="O375" s="6"/>
      <c r="P375" t="s">
        <v>196</v>
      </c>
      <c r="Q375" s="3">
        <v>104</v>
      </c>
      <c r="R375" s="5">
        <v>0.28888799999999998</v>
      </c>
      <c r="S375" s="6" t="s">
        <v>141</v>
      </c>
      <c r="T375" t="s">
        <v>21</v>
      </c>
    </row>
    <row r="376" spans="1:20" x14ac:dyDescent="0.25">
      <c r="A376" t="s">
        <v>54</v>
      </c>
      <c r="B376" t="s">
        <v>84</v>
      </c>
      <c r="C376" t="s">
        <v>85</v>
      </c>
      <c r="D376" t="s">
        <v>86</v>
      </c>
      <c r="E376" t="s">
        <v>1316</v>
      </c>
      <c r="F376" t="s">
        <v>88</v>
      </c>
      <c r="G376" s="2">
        <v>46091</v>
      </c>
      <c r="H376" s="2">
        <v>46189</v>
      </c>
      <c r="I376" s="3">
        <v>150446.78</v>
      </c>
      <c r="J376" t="s">
        <v>90</v>
      </c>
      <c r="K376" s="1">
        <v>46142</v>
      </c>
      <c r="L376" s="3">
        <v>152904.07740000001</v>
      </c>
      <c r="M376" s="3">
        <v>151715.63823400001</v>
      </c>
      <c r="N376" s="3">
        <v>136811093.933743</v>
      </c>
      <c r="O376" s="6" t="s">
        <v>281</v>
      </c>
      <c r="P376" t="s">
        <v>196</v>
      </c>
      <c r="Q376" s="3">
        <v>47</v>
      </c>
      <c r="R376" s="5">
        <v>0.130555</v>
      </c>
      <c r="S376" s="6" t="s">
        <v>145</v>
      </c>
      <c r="T376" t="s">
        <v>21</v>
      </c>
    </row>
    <row r="377" spans="1:20" x14ac:dyDescent="0.25">
      <c r="A377" t="s">
        <v>54</v>
      </c>
      <c r="B377" t="s">
        <v>84</v>
      </c>
      <c r="C377" t="s">
        <v>85</v>
      </c>
      <c r="D377" t="s">
        <v>86</v>
      </c>
      <c r="E377" t="s">
        <v>92</v>
      </c>
      <c r="F377" t="s">
        <v>88</v>
      </c>
      <c r="G377" s="2">
        <v>46052</v>
      </c>
      <c r="H377" s="2">
        <v>46160</v>
      </c>
      <c r="I377" s="3">
        <v>153262.49280000001</v>
      </c>
      <c r="J377" t="s">
        <v>90</v>
      </c>
      <c r="K377" s="1">
        <v>46142</v>
      </c>
      <c r="L377" s="3">
        <v>156021.21770000001</v>
      </c>
      <c r="M377" s="3">
        <v>155554.554038</v>
      </c>
      <c r="N377" s="3">
        <v>140272874.64920399</v>
      </c>
      <c r="O377" s="6" t="s">
        <v>189</v>
      </c>
      <c r="P377" t="s">
        <v>196</v>
      </c>
      <c r="Q377" s="3">
        <v>18</v>
      </c>
      <c r="R377" s="5">
        <v>0.05</v>
      </c>
      <c r="S377" s="6" t="s">
        <v>143</v>
      </c>
      <c r="T377" t="s">
        <v>21</v>
      </c>
    </row>
    <row r="378" spans="1:20" x14ac:dyDescent="0.25">
      <c r="A378" t="s">
        <v>54</v>
      </c>
      <c r="B378" t="s">
        <v>84</v>
      </c>
      <c r="C378" t="s">
        <v>85</v>
      </c>
      <c r="D378" t="s">
        <v>86</v>
      </c>
      <c r="E378" t="s">
        <v>92</v>
      </c>
      <c r="F378" t="s">
        <v>88</v>
      </c>
      <c r="G378" s="2">
        <v>46052</v>
      </c>
      <c r="H378" s="2">
        <v>46160</v>
      </c>
      <c r="I378" s="3">
        <v>104596.01</v>
      </c>
      <c r="J378" t="s">
        <v>90</v>
      </c>
      <c r="K378" s="1">
        <v>46142</v>
      </c>
      <c r="L378" s="3">
        <v>104944.6634</v>
      </c>
      <c r="M378" s="3">
        <v>104630.771087</v>
      </c>
      <c r="N378" s="3">
        <v>94351844.135178</v>
      </c>
      <c r="O378" s="6" t="s">
        <v>189</v>
      </c>
      <c r="P378" t="s">
        <v>196</v>
      </c>
      <c r="Q378" s="3">
        <v>18</v>
      </c>
      <c r="R378" s="5">
        <v>0.05</v>
      </c>
      <c r="S378" s="6" t="s">
        <v>143</v>
      </c>
      <c r="T378" t="s">
        <v>21</v>
      </c>
    </row>
    <row r="379" spans="1:20" x14ac:dyDescent="0.25">
      <c r="A379" t="s">
        <v>54</v>
      </c>
      <c r="B379" t="s">
        <v>84</v>
      </c>
      <c r="C379" t="s">
        <v>85</v>
      </c>
      <c r="D379" t="s">
        <v>86</v>
      </c>
      <c r="E379" t="s">
        <v>1317</v>
      </c>
      <c r="F379" t="s">
        <v>88</v>
      </c>
      <c r="G379" s="2">
        <v>46098</v>
      </c>
      <c r="H379" s="2">
        <v>46196</v>
      </c>
      <c r="I379" s="3">
        <v>11470.192999999999</v>
      </c>
      <c r="J379" t="s">
        <v>90</v>
      </c>
      <c r="K379" s="1">
        <v>46142</v>
      </c>
      <c r="L379" s="3">
        <v>11657.539500000001</v>
      </c>
      <c r="M379" s="3">
        <v>11553.557483000001</v>
      </c>
      <c r="N379" s="3">
        <v>10418535.99556</v>
      </c>
      <c r="O379" s="6" t="s">
        <v>287</v>
      </c>
      <c r="P379" t="s">
        <v>196</v>
      </c>
      <c r="Q379" s="3">
        <v>54</v>
      </c>
      <c r="R379" s="5">
        <v>0.15</v>
      </c>
      <c r="S379" s="6" t="s">
        <v>145</v>
      </c>
      <c r="T379" t="s">
        <v>21</v>
      </c>
    </row>
    <row r="380" spans="1:20" x14ac:dyDescent="0.25">
      <c r="A380" t="s">
        <v>54</v>
      </c>
      <c r="B380" t="s">
        <v>84</v>
      </c>
      <c r="C380" t="s">
        <v>85</v>
      </c>
      <c r="D380" t="s">
        <v>86</v>
      </c>
      <c r="E380" t="s">
        <v>93</v>
      </c>
      <c r="F380" t="s">
        <v>88</v>
      </c>
      <c r="G380" s="2">
        <v>46063</v>
      </c>
      <c r="H380" s="2">
        <v>46168</v>
      </c>
      <c r="I380" s="3">
        <v>35702.0213</v>
      </c>
      <c r="J380" t="s">
        <v>90</v>
      </c>
      <c r="K380" s="1">
        <v>46142</v>
      </c>
      <c r="L380" s="3">
        <v>36326.806700000001</v>
      </c>
      <c r="M380" s="3">
        <v>36170.069731000003</v>
      </c>
      <c r="N380" s="3">
        <v>32616722.080775</v>
      </c>
      <c r="O380" s="6" t="s">
        <v>180</v>
      </c>
      <c r="P380" t="s">
        <v>196</v>
      </c>
      <c r="Q380" s="3">
        <v>26</v>
      </c>
      <c r="R380" s="5">
        <v>7.2221999999999995E-2</v>
      </c>
      <c r="S380" s="6" t="s">
        <v>143</v>
      </c>
      <c r="T380" t="s">
        <v>21</v>
      </c>
    </row>
    <row r="381" spans="1:20" x14ac:dyDescent="0.25">
      <c r="A381" t="s">
        <v>32</v>
      </c>
      <c r="B381" t="s">
        <v>94</v>
      </c>
      <c r="C381" t="s">
        <v>95</v>
      </c>
      <c r="D381" t="s">
        <v>96</v>
      </c>
      <c r="E381" t="s">
        <v>87</v>
      </c>
      <c r="F381" t="s">
        <v>88</v>
      </c>
      <c r="G381" s="2">
        <v>45033</v>
      </c>
      <c r="H381" s="2">
        <v>46670</v>
      </c>
      <c r="I381" s="3">
        <v>300000</v>
      </c>
      <c r="J381" t="s">
        <v>89</v>
      </c>
      <c r="K381" s="1">
        <v>46142</v>
      </c>
      <c r="L381" s="3">
        <v>375532.27</v>
      </c>
      <c r="M381" s="3">
        <v>273247.25692700001</v>
      </c>
      <c r="N381" s="3">
        <v>246403446.406376</v>
      </c>
      <c r="O381" s="6"/>
      <c r="P381" t="s">
        <v>196</v>
      </c>
      <c r="Q381" s="3">
        <v>528</v>
      </c>
      <c r="R381" s="5">
        <v>1.466666</v>
      </c>
      <c r="S381" s="6" t="s">
        <v>176</v>
      </c>
      <c r="T381" t="s">
        <v>21</v>
      </c>
    </row>
    <row r="382" spans="1:20" x14ac:dyDescent="0.25">
      <c r="A382" t="s">
        <v>32</v>
      </c>
      <c r="B382" t="s">
        <v>94</v>
      </c>
      <c r="C382" t="s">
        <v>95</v>
      </c>
      <c r="D382" t="s">
        <v>96</v>
      </c>
      <c r="E382" t="s">
        <v>87</v>
      </c>
      <c r="F382" t="s">
        <v>88</v>
      </c>
      <c r="G382" s="2">
        <v>45033</v>
      </c>
      <c r="H382" s="2">
        <v>46670</v>
      </c>
      <c r="I382" s="3">
        <v>350000</v>
      </c>
      <c r="J382" t="s">
        <v>89</v>
      </c>
      <c r="K382" s="1">
        <v>46142</v>
      </c>
      <c r="L382" s="3">
        <v>437525.46</v>
      </c>
      <c r="M382" s="3">
        <v>318355.14902800001</v>
      </c>
      <c r="N382" s="3">
        <v>287079939.18747699</v>
      </c>
      <c r="O382" s="6"/>
      <c r="P382" t="s">
        <v>196</v>
      </c>
      <c r="Q382" s="3">
        <v>528</v>
      </c>
      <c r="R382" s="5">
        <v>1.466666</v>
      </c>
      <c r="S382" s="6" t="s">
        <v>176</v>
      </c>
      <c r="T382" t="s">
        <v>21</v>
      </c>
    </row>
    <row r="383" spans="1:20" x14ac:dyDescent="0.25">
      <c r="A383" t="s">
        <v>32</v>
      </c>
      <c r="B383" t="s">
        <v>94</v>
      </c>
      <c r="C383" t="s">
        <v>95</v>
      </c>
      <c r="D383" t="s">
        <v>96</v>
      </c>
      <c r="E383" t="s">
        <v>1312</v>
      </c>
      <c r="F383" t="s">
        <v>88</v>
      </c>
      <c r="G383" s="2">
        <v>46083</v>
      </c>
      <c r="H383" s="2">
        <v>46177</v>
      </c>
      <c r="I383" s="3">
        <v>459274.79</v>
      </c>
      <c r="J383" t="s">
        <v>90</v>
      </c>
      <c r="K383" s="1">
        <v>46142</v>
      </c>
      <c r="L383" s="3">
        <v>466470.09499999997</v>
      </c>
      <c r="M383" s="3">
        <v>463764.80033100001</v>
      </c>
      <c r="N383" s="3">
        <v>418204546.346843</v>
      </c>
      <c r="O383" s="6"/>
      <c r="P383" t="s">
        <v>196</v>
      </c>
      <c r="Q383" s="3">
        <v>35</v>
      </c>
      <c r="R383" s="5">
        <v>9.7222000000000003E-2</v>
      </c>
      <c r="S383" s="6" t="s">
        <v>145</v>
      </c>
      <c r="T383" t="s">
        <v>21</v>
      </c>
    </row>
    <row r="384" spans="1:20" x14ac:dyDescent="0.25">
      <c r="A384" t="s">
        <v>32</v>
      </c>
      <c r="B384" t="s">
        <v>94</v>
      </c>
      <c r="C384" t="s">
        <v>95</v>
      </c>
      <c r="D384" t="s">
        <v>96</v>
      </c>
      <c r="E384" t="s">
        <v>1367</v>
      </c>
      <c r="F384" t="s">
        <v>88</v>
      </c>
      <c r="G384" s="2">
        <v>46118</v>
      </c>
      <c r="H384" s="2">
        <v>46148</v>
      </c>
      <c r="I384" s="3">
        <v>60000</v>
      </c>
      <c r="J384" t="s">
        <v>90</v>
      </c>
      <c r="K384" s="1">
        <v>46142</v>
      </c>
      <c r="L384" s="3">
        <v>60300</v>
      </c>
      <c r="M384" s="3">
        <v>60239.760240000003</v>
      </c>
      <c r="N384" s="3">
        <v>54321806.193806</v>
      </c>
      <c r="O384" s="6"/>
      <c r="P384" t="s">
        <v>196</v>
      </c>
      <c r="Q384" s="3">
        <v>6</v>
      </c>
      <c r="R384" s="5">
        <v>1.6666E-2</v>
      </c>
      <c r="S384" s="6" t="s">
        <v>143</v>
      </c>
      <c r="T384" t="s">
        <v>21</v>
      </c>
    </row>
    <row r="385" spans="1:20" x14ac:dyDescent="0.25">
      <c r="A385" t="s">
        <v>32</v>
      </c>
      <c r="B385" t="s">
        <v>94</v>
      </c>
      <c r="C385" t="s">
        <v>95</v>
      </c>
      <c r="D385" t="s">
        <v>96</v>
      </c>
      <c r="E385" t="s">
        <v>1313</v>
      </c>
      <c r="F385" t="s">
        <v>88</v>
      </c>
      <c r="G385" s="2">
        <v>46108</v>
      </c>
      <c r="H385" s="2">
        <v>46209</v>
      </c>
      <c r="I385" s="3">
        <v>120296.59</v>
      </c>
      <c r="J385" t="s">
        <v>90</v>
      </c>
      <c r="K385" s="1">
        <v>46142</v>
      </c>
      <c r="L385" s="3">
        <v>121680.00079999999</v>
      </c>
      <c r="M385" s="3">
        <v>120336.246052</v>
      </c>
      <c r="N385" s="3">
        <v>108514413.240225</v>
      </c>
      <c r="O385" s="6" t="s">
        <v>397</v>
      </c>
      <c r="P385" t="s">
        <v>196</v>
      </c>
      <c r="Q385" s="3">
        <v>67</v>
      </c>
      <c r="R385" s="5">
        <v>0.186111</v>
      </c>
      <c r="S385" s="6" t="s">
        <v>145</v>
      </c>
      <c r="T385" t="s">
        <v>21</v>
      </c>
    </row>
    <row r="386" spans="1:20" x14ac:dyDescent="0.25">
      <c r="A386" t="s">
        <v>32</v>
      </c>
      <c r="B386" t="s">
        <v>94</v>
      </c>
      <c r="C386" t="s">
        <v>95</v>
      </c>
      <c r="D386" t="s">
        <v>96</v>
      </c>
      <c r="E386" t="s">
        <v>1313</v>
      </c>
      <c r="F386" t="s">
        <v>88</v>
      </c>
      <c r="G386" s="2">
        <v>46108</v>
      </c>
      <c r="H386" s="2">
        <v>46209</v>
      </c>
      <c r="I386" s="3">
        <v>76514.400200000004</v>
      </c>
      <c r="J386" t="s">
        <v>90</v>
      </c>
      <c r="K386" s="1">
        <v>46142</v>
      </c>
      <c r="L386" s="3">
        <v>77764.135399999999</v>
      </c>
      <c r="M386" s="3">
        <v>76905.358892000004</v>
      </c>
      <c r="N386" s="3">
        <v>69350176.434781998</v>
      </c>
      <c r="O386" s="6" t="s">
        <v>397</v>
      </c>
      <c r="P386" t="s">
        <v>196</v>
      </c>
      <c r="Q386" s="3">
        <v>67</v>
      </c>
      <c r="R386" s="5">
        <v>0.186111</v>
      </c>
      <c r="S386" s="6" t="s">
        <v>145</v>
      </c>
      <c r="T386" t="s">
        <v>21</v>
      </c>
    </row>
    <row r="387" spans="1:20" x14ac:dyDescent="0.25">
      <c r="A387" t="s">
        <v>32</v>
      </c>
      <c r="B387" t="s">
        <v>94</v>
      </c>
      <c r="C387" t="s">
        <v>95</v>
      </c>
      <c r="D387" t="s">
        <v>96</v>
      </c>
      <c r="E387" t="s">
        <v>1368</v>
      </c>
      <c r="F387" t="s">
        <v>88</v>
      </c>
      <c r="G387" s="2">
        <v>46142</v>
      </c>
      <c r="H387" s="2">
        <v>46246</v>
      </c>
      <c r="I387" s="3">
        <v>603000</v>
      </c>
      <c r="J387" t="s">
        <v>90</v>
      </c>
      <c r="K387" s="1">
        <v>46142</v>
      </c>
      <c r="L387" s="3">
        <v>613452</v>
      </c>
      <c r="M387" s="3">
        <v>603000</v>
      </c>
      <c r="N387" s="3">
        <v>543761280</v>
      </c>
      <c r="O387" s="6"/>
      <c r="P387" t="s">
        <v>196</v>
      </c>
      <c r="Q387" s="3">
        <v>104</v>
      </c>
      <c r="R387" s="5">
        <v>0.28888799999999998</v>
      </c>
      <c r="S387" s="6" t="s">
        <v>141</v>
      </c>
      <c r="T387" t="s">
        <v>21</v>
      </c>
    </row>
    <row r="388" spans="1:20" x14ac:dyDescent="0.25">
      <c r="A388" t="s">
        <v>32</v>
      </c>
      <c r="B388" t="s">
        <v>94</v>
      </c>
      <c r="C388" t="s">
        <v>95</v>
      </c>
      <c r="D388" t="s">
        <v>96</v>
      </c>
      <c r="E388" t="s">
        <v>92</v>
      </c>
      <c r="F388" t="s">
        <v>88</v>
      </c>
      <c r="G388" s="2">
        <v>46052</v>
      </c>
      <c r="H388" s="2">
        <v>46160</v>
      </c>
      <c r="I388" s="3">
        <v>130911.98</v>
      </c>
      <c r="J388" t="s">
        <v>90</v>
      </c>
      <c r="K388" s="1">
        <v>46142</v>
      </c>
      <c r="L388" s="3">
        <v>131501.0839</v>
      </c>
      <c r="M388" s="3">
        <v>131107.760618</v>
      </c>
      <c r="N388" s="3">
        <v>118227734.215019</v>
      </c>
      <c r="O388" s="6" t="s">
        <v>189</v>
      </c>
      <c r="P388" t="s">
        <v>196</v>
      </c>
      <c r="Q388" s="3">
        <v>18</v>
      </c>
      <c r="R388" s="5">
        <v>0.05</v>
      </c>
      <c r="S388" s="6" t="s">
        <v>143</v>
      </c>
      <c r="T388" t="s">
        <v>21</v>
      </c>
    </row>
    <row r="389" spans="1:20" x14ac:dyDescent="0.25">
      <c r="A389" t="s">
        <v>32</v>
      </c>
      <c r="B389" t="s">
        <v>94</v>
      </c>
      <c r="C389" t="s">
        <v>95</v>
      </c>
      <c r="D389" t="s">
        <v>96</v>
      </c>
      <c r="E389" t="s">
        <v>92</v>
      </c>
      <c r="F389" t="s">
        <v>88</v>
      </c>
      <c r="G389" s="2">
        <v>46052</v>
      </c>
      <c r="H389" s="2">
        <v>46160</v>
      </c>
      <c r="I389" s="3">
        <v>103548.18</v>
      </c>
      <c r="J389" t="s">
        <v>90</v>
      </c>
      <c r="K389" s="1">
        <v>46142</v>
      </c>
      <c r="L389" s="3">
        <v>104014.1468</v>
      </c>
      <c r="M389" s="3">
        <v>103703.037687</v>
      </c>
      <c r="N389" s="3">
        <v>93515251.264574006</v>
      </c>
      <c r="O389" s="6" t="s">
        <v>189</v>
      </c>
      <c r="P389" t="s">
        <v>196</v>
      </c>
      <c r="Q389" s="3">
        <v>18</v>
      </c>
      <c r="R389" s="5">
        <v>0.05</v>
      </c>
      <c r="S389" s="6" t="s">
        <v>143</v>
      </c>
      <c r="T389" t="s">
        <v>21</v>
      </c>
    </row>
    <row r="390" spans="1:20" x14ac:dyDescent="0.25">
      <c r="A390" t="s">
        <v>32</v>
      </c>
      <c r="B390" t="s">
        <v>94</v>
      </c>
      <c r="C390" t="s">
        <v>95</v>
      </c>
      <c r="D390" t="s">
        <v>96</v>
      </c>
      <c r="E390" t="s">
        <v>92</v>
      </c>
      <c r="F390" t="s">
        <v>88</v>
      </c>
      <c r="G390" s="2">
        <v>46052</v>
      </c>
      <c r="H390" s="2">
        <v>46160</v>
      </c>
      <c r="I390" s="3">
        <v>204819.46</v>
      </c>
      <c r="J390" t="s">
        <v>90</v>
      </c>
      <c r="K390" s="1">
        <v>46142</v>
      </c>
      <c r="L390" s="3">
        <v>208028.29819999999</v>
      </c>
      <c r="M390" s="3">
        <v>207406.07996</v>
      </c>
      <c r="N390" s="3">
        <v>187030506.664837</v>
      </c>
      <c r="O390" s="6" t="s">
        <v>189</v>
      </c>
      <c r="P390" t="s">
        <v>196</v>
      </c>
      <c r="Q390" s="3">
        <v>18</v>
      </c>
      <c r="R390" s="5">
        <v>0.05</v>
      </c>
      <c r="S390" s="6" t="s">
        <v>143</v>
      </c>
      <c r="T390" t="s">
        <v>21</v>
      </c>
    </row>
    <row r="391" spans="1:20" x14ac:dyDescent="0.25">
      <c r="A391" t="s">
        <v>32</v>
      </c>
      <c r="B391" t="s">
        <v>94</v>
      </c>
      <c r="C391" t="s">
        <v>95</v>
      </c>
      <c r="D391" t="s">
        <v>96</v>
      </c>
      <c r="E391" t="s">
        <v>1318</v>
      </c>
      <c r="F391" t="s">
        <v>88</v>
      </c>
      <c r="G391" s="2">
        <v>46099</v>
      </c>
      <c r="H391" s="2">
        <v>46197</v>
      </c>
      <c r="I391" s="3">
        <v>108273.7</v>
      </c>
      <c r="J391" t="s">
        <v>90</v>
      </c>
      <c r="K391" s="1">
        <v>46142</v>
      </c>
      <c r="L391" s="3">
        <v>109302.3002</v>
      </c>
      <c r="M391" s="3">
        <v>108309.463452</v>
      </c>
      <c r="N391" s="3">
        <v>97669141.762198001</v>
      </c>
      <c r="O391" s="6" t="s">
        <v>287</v>
      </c>
      <c r="P391" t="s">
        <v>196</v>
      </c>
      <c r="Q391" s="3">
        <v>55</v>
      </c>
      <c r="R391" s="5">
        <v>0.152777</v>
      </c>
      <c r="S391" s="6" t="s">
        <v>145</v>
      </c>
      <c r="T391" t="s">
        <v>21</v>
      </c>
    </row>
    <row r="392" spans="1:20" x14ac:dyDescent="0.25">
      <c r="A392" t="s">
        <v>32</v>
      </c>
      <c r="B392" t="s">
        <v>94</v>
      </c>
      <c r="C392" t="s">
        <v>95</v>
      </c>
      <c r="D392" t="s">
        <v>96</v>
      </c>
      <c r="E392" t="s">
        <v>93</v>
      </c>
      <c r="F392" t="s">
        <v>88</v>
      </c>
      <c r="G392" s="2">
        <v>46063</v>
      </c>
      <c r="H392" s="2">
        <v>46168</v>
      </c>
      <c r="I392" s="3">
        <v>207635.35380000001</v>
      </c>
      <c r="J392" t="s">
        <v>90</v>
      </c>
      <c r="K392" s="1">
        <v>46142</v>
      </c>
      <c r="L392" s="3">
        <v>211268.9725</v>
      </c>
      <c r="M392" s="3">
        <v>210357.423664</v>
      </c>
      <c r="N392" s="3">
        <v>189691910.363359</v>
      </c>
      <c r="O392" s="6" t="s">
        <v>180</v>
      </c>
      <c r="P392" t="s">
        <v>196</v>
      </c>
      <c r="Q392" s="3">
        <v>26</v>
      </c>
      <c r="R392" s="5">
        <v>7.2221999999999995E-2</v>
      </c>
      <c r="S392" s="6" t="s">
        <v>143</v>
      </c>
      <c r="T392" t="s">
        <v>21</v>
      </c>
    </row>
    <row r="393" spans="1:20" x14ac:dyDescent="0.25">
      <c r="A393" t="s">
        <v>54</v>
      </c>
      <c r="B393" t="s">
        <v>97</v>
      </c>
      <c r="C393" t="s">
        <v>98</v>
      </c>
      <c r="D393" t="s">
        <v>99</v>
      </c>
      <c r="E393" t="s">
        <v>27</v>
      </c>
      <c r="F393" t="s">
        <v>19</v>
      </c>
      <c r="G393" s="2">
        <v>46052</v>
      </c>
      <c r="H393" s="2">
        <v>46160</v>
      </c>
      <c r="I393" s="3">
        <v>8362331</v>
      </c>
      <c r="J393" t="s">
        <v>20</v>
      </c>
      <c r="K393" s="1">
        <v>46142</v>
      </c>
      <c r="L393" s="3">
        <v>8479989</v>
      </c>
      <c r="M393" s="3">
        <v>8448055.3507739995</v>
      </c>
      <c r="N393" s="3">
        <v>8448055.3507739995</v>
      </c>
      <c r="O393" s="6" t="s">
        <v>452</v>
      </c>
      <c r="P393" t="s">
        <v>196</v>
      </c>
      <c r="Q393" s="3">
        <v>18</v>
      </c>
      <c r="R393" s="5">
        <v>0.05</v>
      </c>
      <c r="S393" s="6" t="s">
        <v>143</v>
      </c>
      <c r="T393" t="s">
        <v>21</v>
      </c>
    </row>
    <row r="394" spans="1:20" x14ac:dyDescent="0.25">
      <c r="A394" t="s">
        <v>54</v>
      </c>
      <c r="B394" t="s">
        <v>97</v>
      </c>
      <c r="C394" t="s">
        <v>98</v>
      </c>
      <c r="D394" t="s">
        <v>99</v>
      </c>
      <c r="E394" t="s">
        <v>1356</v>
      </c>
      <c r="F394" t="s">
        <v>19</v>
      </c>
      <c r="G394" s="2">
        <v>46127</v>
      </c>
      <c r="H394" s="2">
        <v>46226</v>
      </c>
      <c r="I394" s="3">
        <v>49537736</v>
      </c>
      <c r="J394" t="s">
        <v>20</v>
      </c>
      <c r="K394" s="1">
        <v>46142</v>
      </c>
      <c r="L394" s="3">
        <v>50567626</v>
      </c>
      <c r="M394" s="3">
        <v>49691075.429425001</v>
      </c>
      <c r="N394" s="3">
        <v>49691075.429425001</v>
      </c>
      <c r="O394" s="6"/>
      <c r="P394" t="s">
        <v>196</v>
      </c>
      <c r="Q394" s="3">
        <v>84</v>
      </c>
      <c r="R394" s="5">
        <v>0.23333300000000001</v>
      </c>
      <c r="S394" s="6" t="s">
        <v>145</v>
      </c>
      <c r="T394" t="s">
        <v>21</v>
      </c>
    </row>
    <row r="395" spans="1:20" x14ac:dyDescent="0.25">
      <c r="A395" t="s">
        <v>54</v>
      </c>
      <c r="B395" t="s">
        <v>97</v>
      </c>
      <c r="C395" t="s">
        <v>98</v>
      </c>
      <c r="D395" t="s">
        <v>99</v>
      </c>
      <c r="E395" t="s">
        <v>1319</v>
      </c>
      <c r="F395" t="s">
        <v>19</v>
      </c>
      <c r="G395" s="2">
        <v>46100</v>
      </c>
      <c r="H395" s="2">
        <v>46198</v>
      </c>
      <c r="I395" s="3">
        <v>976641301</v>
      </c>
      <c r="J395" t="s">
        <v>20</v>
      </c>
      <c r="K395" s="1">
        <v>46142</v>
      </c>
      <c r="L395" s="3">
        <v>996740579</v>
      </c>
      <c r="M395" s="3">
        <v>985155154.38443899</v>
      </c>
      <c r="N395" s="3">
        <v>985155154.38443899</v>
      </c>
      <c r="O395" s="6"/>
      <c r="P395" t="s">
        <v>196</v>
      </c>
      <c r="Q395" s="3">
        <v>56</v>
      </c>
      <c r="R395" s="5">
        <v>0.155555</v>
      </c>
      <c r="S395" s="6" t="s">
        <v>145</v>
      </c>
      <c r="T395" t="s">
        <v>21</v>
      </c>
    </row>
    <row r="396" spans="1:20" x14ac:dyDescent="0.25">
      <c r="A396" t="s">
        <v>54</v>
      </c>
      <c r="B396" t="s">
        <v>97</v>
      </c>
      <c r="C396" t="s">
        <v>98</v>
      </c>
      <c r="D396" t="s">
        <v>99</v>
      </c>
      <c r="E396" t="s">
        <v>1319</v>
      </c>
      <c r="F396" t="s">
        <v>19</v>
      </c>
      <c r="G396" s="2">
        <v>46100</v>
      </c>
      <c r="H396" s="2">
        <v>46198</v>
      </c>
      <c r="I396" s="3">
        <v>21214169</v>
      </c>
      <c r="J396" t="s">
        <v>20</v>
      </c>
      <c r="K396" s="1">
        <v>46142</v>
      </c>
      <c r="L396" s="3">
        <v>21650756</v>
      </c>
      <c r="M396" s="3">
        <v>21399102.553964999</v>
      </c>
      <c r="N396" s="3">
        <v>21399102.553964999</v>
      </c>
      <c r="O396" s="6"/>
      <c r="P396" t="s">
        <v>196</v>
      </c>
      <c r="Q396" s="3">
        <v>56</v>
      </c>
      <c r="R396" s="5">
        <v>0.155555</v>
      </c>
      <c r="S396" s="6" t="s">
        <v>145</v>
      </c>
      <c r="T396" t="s">
        <v>21</v>
      </c>
    </row>
    <row r="397" spans="1:20" x14ac:dyDescent="0.25">
      <c r="A397" t="s">
        <v>15</v>
      </c>
      <c r="B397" t="s">
        <v>100</v>
      </c>
      <c r="C397" t="s">
        <v>101</v>
      </c>
      <c r="D397" t="s">
        <v>102</v>
      </c>
      <c r="E397" t="s">
        <v>22</v>
      </c>
      <c r="F397" t="s">
        <v>19</v>
      </c>
      <c r="G397" s="2">
        <v>46043</v>
      </c>
      <c r="H397" s="2">
        <v>46146</v>
      </c>
      <c r="I397" s="3">
        <v>3216799</v>
      </c>
      <c r="J397" t="s">
        <v>20</v>
      </c>
      <c r="K397" s="1">
        <v>46142</v>
      </c>
      <c r="L397" s="3">
        <v>3287526</v>
      </c>
      <c r="M397" s="3">
        <v>3284548.0098040001</v>
      </c>
      <c r="N397" s="3">
        <v>3284548.0098040001</v>
      </c>
      <c r="O397" s="6"/>
      <c r="P397" t="s">
        <v>196</v>
      </c>
      <c r="Q397" s="3">
        <v>4</v>
      </c>
      <c r="R397" s="5">
        <v>1.1110999999999999E-2</v>
      </c>
      <c r="S397" s="6" t="s">
        <v>143</v>
      </c>
      <c r="T397" t="s">
        <v>21</v>
      </c>
    </row>
    <row r="398" spans="1:20" x14ac:dyDescent="0.25">
      <c r="A398" t="s">
        <v>15</v>
      </c>
      <c r="B398" t="s">
        <v>100</v>
      </c>
      <c r="C398" t="s">
        <v>101</v>
      </c>
      <c r="D398" t="s">
        <v>102</v>
      </c>
      <c r="E398" t="s">
        <v>1291</v>
      </c>
      <c r="F398" t="s">
        <v>19</v>
      </c>
      <c r="G398" s="2">
        <v>46083</v>
      </c>
      <c r="H398" s="2">
        <v>46177</v>
      </c>
      <c r="I398" s="3">
        <v>35424706</v>
      </c>
      <c r="J398" t="s">
        <v>20</v>
      </c>
      <c r="K398" s="1">
        <v>46142</v>
      </c>
      <c r="L398" s="3">
        <v>36179488</v>
      </c>
      <c r="M398" s="3">
        <v>35894723.195978999</v>
      </c>
      <c r="N398" s="3">
        <v>35894723.195978999</v>
      </c>
      <c r="O398" s="6" t="s">
        <v>282</v>
      </c>
      <c r="P398" t="s">
        <v>196</v>
      </c>
      <c r="Q398" s="3">
        <v>35</v>
      </c>
      <c r="R398" s="5">
        <v>9.7222000000000003E-2</v>
      </c>
      <c r="S398" s="6" t="s">
        <v>145</v>
      </c>
      <c r="T398" t="s">
        <v>21</v>
      </c>
    </row>
    <row r="399" spans="1:20" x14ac:dyDescent="0.25">
      <c r="A399" t="s">
        <v>15</v>
      </c>
      <c r="B399" t="s">
        <v>100</v>
      </c>
      <c r="C399" t="s">
        <v>101</v>
      </c>
      <c r="D399" t="s">
        <v>102</v>
      </c>
      <c r="E399" t="s">
        <v>1293</v>
      </c>
      <c r="F399" t="s">
        <v>19</v>
      </c>
      <c r="G399" s="2">
        <v>46108</v>
      </c>
      <c r="H399" s="2">
        <v>46209</v>
      </c>
      <c r="I399" s="3">
        <v>136447435</v>
      </c>
      <c r="J399" t="s">
        <v>20</v>
      </c>
      <c r="K399" s="1">
        <v>46142</v>
      </c>
      <c r="L399" s="3">
        <v>139341485</v>
      </c>
      <c r="M399" s="3">
        <v>137408152.29717901</v>
      </c>
      <c r="N399" s="3">
        <v>137408152.29717901</v>
      </c>
      <c r="O399" s="6" t="s">
        <v>521</v>
      </c>
      <c r="P399" t="s">
        <v>196</v>
      </c>
      <c r="Q399" s="3">
        <v>67</v>
      </c>
      <c r="R399" s="5">
        <v>0.186111</v>
      </c>
      <c r="S399" s="6" t="s">
        <v>145</v>
      </c>
      <c r="T399" t="s">
        <v>21</v>
      </c>
    </row>
    <row r="400" spans="1:20" x14ac:dyDescent="0.25">
      <c r="A400" t="s">
        <v>15</v>
      </c>
      <c r="B400" t="s">
        <v>100</v>
      </c>
      <c r="C400" t="s">
        <v>101</v>
      </c>
      <c r="D400" t="s">
        <v>102</v>
      </c>
      <c r="E400" t="s">
        <v>1364</v>
      </c>
      <c r="F400" t="s">
        <v>19</v>
      </c>
      <c r="G400" s="2">
        <v>46141</v>
      </c>
      <c r="H400" s="2">
        <v>46241</v>
      </c>
      <c r="I400" s="3">
        <v>2139102</v>
      </c>
      <c r="J400" t="s">
        <v>20</v>
      </c>
      <c r="K400" s="1">
        <v>46142</v>
      </c>
      <c r="L400" s="3">
        <v>2184023</v>
      </c>
      <c r="M400" s="3">
        <v>2139541.9234119998</v>
      </c>
      <c r="N400" s="3">
        <v>2139541.9234119998</v>
      </c>
      <c r="O400" s="6" t="s">
        <v>185</v>
      </c>
      <c r="P400" t="s">
        <v>196</v>
      </c>
      <c r="Q400" s="3">
        <v>99</v>
      </c>
      <c r="R400" s="5">
        <v>0.27500000000000002</v>
      </c>
      <c r="S400" s="6" t="s">
        <v>141</v>
      </c>
      <c r="T400" t="s">
        <v>21</v>
      </c>
    </row>
    <row r="401" spans="1:20" x14ac:dyDescent="0.25">
      <c r="A401" t="s">
        <v>15</v>
      </c>
      <c r="B401" t="s">
        <v>100</v>
      </c>
      <c r="C401" t="s">
        <v>101</v>
      </c>
      <c r="D401" t="s">
        <v>102</v>
      </c>
      <c r="E401" t="s">
        <v>37</v>
      </c>
      <c r="F401" t="s">
        <v>19</v>
      </c>
      <c r="G401" s="2">
        <v>46050</v>
      </c>
      <c r="H401" s="2">
        <v>46153</v>
      </c>
      <c r="I401" s="3">
        <v>18080264</v>
      </c>
      <c r="J401" t="s">
        <v>20</v>
      </c>
      <c r="K401" s="1">
        <v>46142</v>
      </c>
      <c r="L401" s="3">
        <v>18477789</v>
      </c>
      <c r="M401" s="3">
        <v>18431832.298137002</v>
      </c>
      <c r="N401" s="3">
        <v>18431832.298137002</v>
      </c>
      <c r="O401" s="6" t="s">
        <v>153</v>
      </c>
      <c r="P401" t="s">
        <v>196</v>
      </c>
      <c r="Q401" s="3">
        <v>11</v>
      </c>
      <c r="R401" s="5">
        <v>3.0554999999999999E-2</v>
      </c>
      <c r="S401" s="6" t="s">
        <v>143</v>
      </c>
      <c r="T401" t="s">
        <v>21</v>
      </c>
    </row>
    <row r="402" spans="1:20" x14ac:dyDescent="0.25">
      <c r="A402" t="s">
        <v>15</v>
      </c>
      <c r="B402" t="s">
        <v>100</v>
      </c>
      <c r="C402" t="s">
        <v>101</v>
      </c>
      <c r="D402" t="s">
        <v>102</v>
      </c>
      <c r="E402" t="s">
        <v>37</v>
      </c>
      <c r="F402" t="s">
        <v>19</v>
      </c>
      <c r="G402" s="2">
        <v>46050</v>
      </c>
      <c r="H402" s="2">
        <v>46153</v>
      </c>
      <c r="I402" s="3">
        <v>1422037</v>
      </c>
      <c r="J402" t="s">
        <v>20</v>
      </c>
      <c r="K402" s="1">
        <v>46142</v>
      </c>
      <c r="L402" s="3">
        <v>1455237</v>
      </c>
      <c r="M402" s="3">
        <v>1451617.6333669999</v>
      </c>
      <c r="N402" s="3">
        <v>1451617.6333669999</v>
      </c>
      <c r="O402" s="6" t="s">
        <v>153</v>
      </c>
      <c r="P402" t="s">
        <v>196</v>
      </c>
      <c r="Q402" s="3">
        <v>11</v>
      </c>
      <c r="R402" s="5">
        <v>3.0554999999999999E-2</v>
      </c>
      <c r="S402" s="6" t="s">
        <v>143</v>
      </c>
      <c r="T402" t="s">
        <v>21</v>
      </c>
    </row>
    <row r="403" spans="1:20" x14ac:dyDescent="0.25">
      <c r="A403" t="s">
        <v>15</v>
      </c>
      <c r="B403" t="s">
        <v>100</v>
      </c>
      <c r="C403" t="s">
        <v>101</v>
      </c>
      <c r="D403" t="s">
        <v>102</v>
      </c>
      <c r="E403" t="s">
        <v>24</v>
      </c>
      <c r="F403" t="s">
        <v>19</v>
      </c>
      <c r="G403" s="2">
        <v>46051</v>
      </c>
      <c r="H403" s="2">
        <v>46155</v>
      </c>
      <c r="I403" s="3">
        <v>22879121</v>
      </c>
      <c r="J403" t="s">
        <v>20</v>
      </c>
      <c r="K403" s="1">
        <v>46142</v>
      </c>
      <c r="L403" s="3">
        <v>23413272</v>
      </c>
      <c r="M403" s="3">
        <v>23344483.58836</v>
      </c>
      <c r="N403" s="3">
        <v>23344483.58836</v>
      </c>
      <c r="O403" s="6" t="s">
        <v>452</v>
      </c>
      <c r="P403" t="s">
        <v>196</v>
      </c>
      <c r="Q403" s="3">
        <v>13</v>
      </c>
      <c r="R403" s="5">
        <v>3.6110999999999997E-2</v>
      </c>
      <c r="S403" s="6" t="s">
        <v>143</v>
      </c>
      <c r="T403" t="s">
        <v>21</v>
      </c>
    </row>
    <row r="404" spans="1:20" x14ac:dyDescent="0.25">
      <c r="A404" t="s">
        <v>15</v>
      </c>
      <c r="B404" t="s">
        <v>100</v>
      </c>
      <c r="C404" t="s">
        <v>101</v>
      </c>
      <c r="D404" t="s">
        <v>102</v>
      </c>
      <c r="E404" t="s">
        <v>25</v>
      </c>
      <c r="F404" t="s">
        <v>19</v>
      </c>
      <c r="G404" s="2">
        <v>46051</v>
      </c>
      <c r="H404" s="2">
        <v>46156</v>
      </c>
      <c r="I404" s="3">
        <v>124176226</v>
      </c>
      <c r="J404" t="s">
        <v>20</v>
      </c>
      <c r="K404" s="1">
        <v>46142</v>
      </c>
      <c r="L404" s="3">
        <v>127103474</v>
      </c>
      <c r="M404" s="3">
        <v>126701408.19798499</v>
      </c>
      <c r="N404" s="3">
        <v>126701408.19798499</v>
      </c>
      <c r="O404" s="6" t="s">
        <v>452</v>
      </c>
      <c r="P404" t="s">
        <v>196</v>
      </c>
      <c r="Q404" s="3">
        <v>14</v>
      </c>
      <c r="R404" s="5">
        <v>3.8887999999999999E-2</v>
      </c>
      <c r="S404" s="6" t="s">
        <v>143</v>
      </c>
      <c r="T404" t="s">
        <v>21</v>
      </c>
    </row>
    <row r="405" spans="1:20" x14ac:dyDescent="0.25">
      <c r="A405" t="s">
        <v>15</v>
      </c>
      <c r="B405" t="s">
        <v>100</v>
      </c>
      <c r="C405" t="s">
        <v>101</v>
      </c>
      <c r="D405" t="s">
        <v>102</v>
      </c>
      <c r="E405" t="s">
        <v>26</v>
      </c>
      <c r="F405" t="s">
        <v>19</v>
      </c>
      <c r="G405" s="2">
        <v>46052</v>
      </c>
      <c r="H405" s="2">
        <v>46157</v>
      </c>
      <c r="I405" s="3">
        <v>4000000</v>
      </c>
      <c r="J405" t="s">
        <v>20</v>
      </c>
      <c r="K405" s="1">
        <v>46142</v>
      </c>
      <c r="L405" s="3">
        <v>4042840</v>
      </c>
      <c r="M405" s="3">
        <v>4030145.043114</v>
      </c>
      <c r="N405" s="3">
        <v>4030145.043114</v>
      </c>
      <c r="O405" s="6" t="s">
        <v>521</v>
      </c>
      <c r="P405" t="s">
        <v>196</v>
      </c>
      <c r="Q405" s="3">
        <v>15</v>
      </c>
      <c r="R405" s="5">
        <v>4.1666000000000002E-2</v>
      </c>
      <c r="S405" s="6" t="s">
        <v>143</v>
      </c>
      <c r="T405" t="s">
        <v>21</v>
      </c>
    </row>
    <row r="406" spans="1:20" x14ac:dyDescent="0.25">
      <c r="A406" t="s">
        <v>15</v>
      </c>
      <c r="B406" t="s">
        <v>100</v>
      </c>
      <c r="C406" t="s">
        <v>101</v>
      </c>
      <c r="D406" t="s">
        <v>102</v>
      </c>
      <c r="E406" t="s">
        <v>26</v>
      </c>
      <c r="F406" t="s">
        <v>19</v>
      </c>
      <c r="G406" s="2">
        <v>46052</v>
      </c>
      <c r="H406" s="2">
        <v>46157</v>
      </c>
      <c r="I406" s="3">
        <v>31542836</v>
      </c>
      <c r="J406" t="s">
        <v>20</v>
      </c>
      <c r="K406" s="1">
        <v>46142</v>
      </c>
      <c r="L406" s="3">
        <v>32250657</v>
      </c>
      <c r="M406" s="3">
        <v>32141376.32051</v>
      </c>
      <c r="N406" s="3">
        <v>32141376.32051</v>
      </c>
      <c r="O406" s="6" t="s">
        <v>521</v>
      </c>
      <c r="P406" t="s">
        <v>196</v>
      </c>
      <c r="Q406" s="3">
        <v>15</v>
      </c>
      <c r="R406" s="5">
        <v>4.1666000000000002E-2</v>
      </c>
      <c r="S406" s="6" t="s">
        <v>143</v>
      </c>
      <c r="T406" t="s">
        <v>21</v>
      </c>
    </row>
    <row r="407" spans="1:20" x14ac:dyDescent="0.25">
      <c r="A407" t="s">
        <v>15</v>
      </c>
      <c r="B407" t="s">
        <v>100</v>
      </c>
      <c r="C407" t="s">
        <v>101</v>
      </c>
      <c r="D407" t="s">
        <v>102</v>
      </c>
      <c r="E407" t="s">
        <v>27</v>
      </c>
      <c r="F407" t="s">
        <v>19</v>
      </c>
      <c r="G407" s="2">
        <v>46052</v>
      </c>
      <c r="H407" s="2">
        <v>46160</v>
      </c>
      <c r="I407" s="3">
        <v>3109673</v>
      </c>
      <c r="J407" t="s">
        <v>20</v>
      </c>
      <c r="K407" s="1">
        <v>46142</v>
      </c>
      <c r="L407" s="3">
        <v>3183683</v>
      </c>
      <c r="M407" s="3">
        <v>3170746.3548719999</v>
      </c>
      <c r="N407" s="3">
        <v>3170746.3548719999</v>
      </c>
      <c r="O407" s="6" t="s">
        <v>452</v>
      </c>
      <c r="P407" t="s">
        <v>196</v>
      </c>
      <c r="Q407" s="3">
        <v>18</v>
      </c>
      <c r="R407" s="5">
        <v>0.05</v>
      </c>
      <c r="S407" s="6" t="s">
        <v>143</v>
      </c>
      <c r="T407" t="s">
        <v>21</v>
      </c>
    </row>
    <row r="408" spans="1:20" x14ac:dyDescent="0.25">
      <c r="A408" t="s">
        <v>15</v>
      </c>
      <c r="B408" t="s">
        <v>100</v>
      </c>
      <c r="C408" t="s">
        <v>101</v>
      </c>
      <c r="D408" t="s">
        <v>102</v>
      </c>
      <c r="E408" t="s">
        <v>1332</v>
      </c>
      <c r="F408" t="s">
        <v>19</v>
      </c>
      <c r="G408" s="2">
        <v>46125</v>
      </c>
      <c r="H408" s="2">
        <v>46224</v>
      </c>
      <c r="I408" s="3">
        <v>20515827</v>
      </c>
      <c r="J408" t="s">
        <v>20</v>
      </c>
      <c r="K408" s="1">
        <v>46142</v>
      </c>
      <c r="L408" s="3">
        <v>20942351</v>
      </c>
      <c r="M408" s="3">
        <v>20587828.591651998</v>
      </c>
      <c r="N408" s="3">
        <v>20587828.591651998</v>
      </c>
      <c r="O408" s="6" t="s">
        <v>373</v>
      </c>
      <c r="P408" t="s">
        <v>196</v>
      </c>
      <c r="Q408" s="3">
        <v>82</v>
      </c>
      <c r="R408" s="5">
        <v>0.22777700000000001</v>
      </c>
      <c r="S408" s="6" t="s">
        <v>145</v>
      </c>
      <c r="T408" t="s">
        <v>21</v>
      </c>
    </row>
    <row r="409" spans="1:20" x14ac:dyDescent="0.25">
      <c r="A409" t="s">
        <v>15</v>
      </c>
      <c r="B409" t="s">
        <v>100</v>
      </c>
      <c r="C409" t="s">
        <v>101</v>
      </c>
      <c r="D409" t="s">
        <v>102</v>
      </c>
      <c r="E409" t="s">
        <v>40</v>
      </c>
      <c r="F409" t="s">
        <v>19</v>
      </c>
      <c r="G409" s="2">
        <v>46063</v>
      </c>
      <c r="H409" s="2">
        <v>46168</v>
      </c>
      <c r="I409" s="3">
        <v>1454999</v>
      </c>
      <c r="J409" t="s">
        <v>20</v>
      </c>
      <c r="K409" s="1">
        <v>46142</v>
      </c>
      <c r="L409" s="3">
        <v>1488968</v>
      </c>
      <c r="M409" s="3">
        <v>1480244.426182</v>
      </c>
      <c r="N409" s="3">
        <v>1480244.426182</v>
      </c>
      <c r="O409" s="6" t="s">
        <v>142</v>
      </c>
      <c r="P409" t="s">
        <v>196</v>
      </c>
      <c r="Q409" s="3">
        <v>26</v>
      </c>
      <c r="R409" s="5">
        <v>7.2221999999999995E-2</v>
      </c>
      <c r="S409" s="6" t="s">
        <v>143</v>
      </c>
      <c r="T409" t="s">
        <v>21</v>
      </c>
    </row>
    <row r="410" spans="1:20" x14ac:dyDescent="0.25">
      <c r="A410" t="s">
        <v>15</v>
      </c>
      <c r="B410" t="s">
        <v>100</v>
      </c>
      <c r="C410" t="s">
        <v>101</v>
      </c>
      <c r="D410" t="s">
        <v>102</v>
      </c>
      <c r="E410" t="s">
        <v>41</v>
      </c>
      <c r="F410" t="s">
        <v>19</v>
      </c>
      <c r="G410" s="2">
        <v>46064</v>
      </c>
      <c r="H410" s="2">
        <v>46169</v>
      </c>
      <c r="I410" s="3">
        <v>8303576</v>
      </c>
      <c r="J410" t="s">
        <v>20</v>
      </c>
      <c r="K410" s="1">
        <v>46142</v>
      </c>
      <c r="L410" s="3">
        <v>8501201</v>
      </c>
      <c r="M410" s="3">
        <v>8449490.1204630006</v>
      </c>
      <c r="N410" s="3">
        <v>8449490.1204630006</v>
      </c>
      <c r="O410" s="6" t="s">
        <v>521</v>
      </c>
      <c r="P410" t="s">
        <v>196</v>
      </c>
      <c r="Q410" s="3">
        <v>27</v>
      </c>
      <c r="R410" s="5">
        <v>7.4999999999999997E-2</v>
      </c>
      <c r="S410" s="6" t="s">
        <v>143</v>
      </c>
      <c r="T410" t="s">
        <v>21</v>
      </c>
    </row>
    <row r="411" spans="1:20" x14ac:dyDescent="0.25">
      <c r="A411" t="s">
        <v>15</v>
      </c>
      <c r="B411" t="s">
        <v>100</v>
      </c>
      <c r="C411" t="s">
        <v>101</v>
      </c>
      <c r="D411" t="s">
        <v>102</v>
      </c>
      <c r="E411" t="s">
        <v>47</v>
      </c>
      <c r="F411" t="s">
        <v>19</v>
      </c>
      <c r="G411" s="2">
        <v>46052</v>
      </c>
      <c r="H411" s="2">
        <v>46155</v>
      </c>
      <c r="I411" s="3">
        <v>5000000</v>
      </c>
      <c r="J411" t="s">
        <v>20</v>
      </c>
      <c r="K411" s="1">
        <v>46142</v>
      </c>
      <c r="L411" s="3">
        <v>5031500</v>
      </c>
      <c r="M411" s="3">
        <v>5017801.4021720001</v>
      </c>
      <c r="N411" s="3">
        <v>5017801.4021720001</v>
      </c>
      <c r="O411" s="6" t="s">
        <v>1282</v>
      </c>
      <c r="P411" t="s">
        <v>201</v>
      </c>
      <c r="Q411" s="3">
        <v>13</v>
      </c>
      <c r="R411" s="5">
        <v>3.6110999999999997E-2</v>
      </c>
      <c r="S411" s="6" t="s">
        <v>143</v>
      </c>
      <c r="T411" t="s">
        <v>21</v>
      </c>
    </row>
    <row r="412" spans="1:20" x14ac:dyDescent="0.25">
      <c r="A412" t="s">
        <v>15</v>
      </c>
      <c r="B412" t="s">
        <v>100</v>
      </c>
      <c r="C412" t="s">
        <v>101</v>
      </c>
      <c r="D412" t="s">
        <v>102</v>
      </c>
      <c r="E412" t="s">
        <v>1306</v>
      </c>
      <c r="F412" t="s">
        <v>19</v>
      </c>
      <c r="G412" s="2">
        <v>46091</v>
      </c>
      <c r="H412" s="2">
        <v>46189</v>
      </c>
      <c r="I412" s="3">
        <v>91224000</v>
      </c>
      <c r="J412" t="s">
        <v>20</v>
      </c>
      <c r="K412" s="1">
        <v>46142</v>
      </c>
      <c r="L412" s="3">
        <v>93160990</v>
      </c>
      <c r="M412" s="3">
        <v>92221864.018083006</v>
      </c>
      <c r="N412" s="3">
        <v>92221864.018083006</v>
      </c>
      <c r="O412" s="6"/>
      <c r="P412" t="s">
        <v>196</v>
      </c>
      <c r="Q412" s="3">
        <v>47</v>
      </c>
      <c r="R412" s="5">
        <v>0.130555</v>
      </c>
      <c r="S412" s="6" t="s">
        <v>145</v>
      </c>
      <c r="T412" t="s">
        <v>21</v>
      </c>
    </row>
    <row r="413" spans="1:20" x14ac:dyDescent="0.25">
      <c r="A413" t="s">
        <v>15</v>
      </c>
      <c r="B413" t="s">
        <v>100</v>
      </c>
      <c r="C413" t="s">
        <v>101</v>
      </c>
      <c r="D413" t="s">
        <v>102</v>
      </c>
      <c r="E413" t="s">
        <v>66</v>
      </c>
      <c r="F413" t="s">
        <v>19</v>
      </c>
      <c r="G413" s="2">
        <v>46063</v>
      </c>
      <c r="H413" s="2">
        <v>46168</v>
      </c>
      <c r="I413" s="3">
        <v>55016926</v>
      </c>
      <c r="J413" t="s">
        <v>20</v>
      </c>
      <c r="K413" s="1">
        <v>46142</v>
      </c>
      <c r="L413" s="3">
        <v>56301388</v>
      </c>
      <c r="M413" s="3">
        <v>55971529.121708997</v>
      </c>
      <c r="N413" s="3">
        <v>55971529.121708997</v>
      </c>
      <c r="O413" s="6" t="s">
        <v>406</v>
      </c>
      <c r="P413" t="s">
        <v>300</v>
      </c>
      <c r="Q413" s="3">
        <v>26</v>
      </c>
      <c r="R413" s="5">
        <v>7.2221999999999995E-2</v>
      </c>
      <c r="S413" s="6" t="s">
        <v>143</v>
      </c>
      <c r="T413" t="s">
        <v>21</v>
      </c>
    </row>
    <row r="414" spans="1:20" x14ac:dyDescent="0.25">
      <c r="A414" t="s">
        <v>15</v>
      </c>
      <c r="B414" t="s">
        <v>100</v>
      </c>
      <c r="C414" t="s">
        <v>101</v>
      </c>
      <c r="D414" t="s">
        <v>102</v>
      </c>
      <c r="E414" t="s">
        <v>1335</v>
      </c>
      <c r="F414" t="s">
        <v>19</v>
      </c>
      <c r="G414" s="2">
        <v>46129</v>
      </c>
      <c r="H414" s="2">
        <v>46230</v>
      </c>
      <c r="I414" s="3">
        <v>31201810</v>
      </c>
      <c r="J414" t="s">
        <v>20</v>
      </c>
      <c r="K414" s="1">
        <v>46142</v>
      </c>
      <c r="L414" s="3">
        <v>31843943</v>
      </c>
      <c r="M414" s="3">
        <v>31266144.646924999</v>
      </c>
      <c r="N414" s="3">
        <v>31266144.646924999</v>
      </c>
      <c r="O414" s="6" t="s">
        <v>1336</v>
      </c>
      <c r="P414" t="s">
        <v>196</v>
      </c>
      <c r="Q414" s="3">
        <v>88</v>
      </c>
      <c r="R414" s="5">
        <v>0.24444399999999999</v>
      </c>
      <c r="S414" s="6" t="s">
        <v>145</v>
      </c>
      <c r="T414" t="s">
        <v>21</v>
      </c>
    </row>
    <row r="415" spans="1:20" x14ac:dyDescent="0.25">
      <c r="A415" t="s">
        <v>15</v>
      </c>
      <c r="B415" t="s">
        <v>100</v>
      </c>
      <c r="C415" t="s">
        <v>101</v>
      </c>
      <c r="D415" t="s">
        <v>102</v>
      </c>
      <c r="E415" t="s">
        <v>76</v>
      </c>
      <c r="F415" t="s">
        <v>19</v>
      </c>
      <c r="G415" s="2">
        <v>46080</v>
      </c>
      <c r="H415" s="2">
        <v>46171</v>
      </c>
      <c r="I415" s="3">
        <v>75023979</v>
      </c>
      <c r="J415" t="s">
        <v>20</v>
      </c>
      <c r="K415" s="1">
        <v>46142</v>
      </c>
      <c r="L415" s="3">
        <v>75811731</v>
      </c>
      <c r="M415" s="3">
        <v>75352832.251588002</v>
      </c>
      <c r="N415" s="3">
        <v>75352832.251588002</v>
      </c>
      <c r="O415" s="6" t="s">
        <v>268</v>
      </c>
      <c r="P415" t="s">
        <v>201</v>
      </c>
      <c r="Q415" s="3">
        <v>29</v>
      </c>
      <c r="R415" s="5">
        <v>8.0555000000000002E-2</v>
      </c>
      <c r="S415" s="6" t="s">
        <v>143</v>
      </c>
      <c r="T415" t="s">
        <v>21</v>
      </c>
    </row>
    <row r="416" spans="1:20" x14ac:dyDescent="0.25">
      <c r="A416" t="s">
        <v>15</v>
      </c>
      <c r="B416" t="s">
        <v>1369</v>
      </c>
      <c r="C416" t="s">
        <v>1370</v>
      </c>
      <c r="D416" t="s">
        <v>1371</v>
      </c>
      <c r="E416" t="s">
        <v>1366</v>
      </c>
      <c r="F416" t="s">
        <v>88</v>
      </c>
      <c r="G416" s="2">
        <v>46136</v>
      </c>
      <c r="H416" s="2">
        <v>46237</v>
      </c>
      <c r="I416" s="3">
        <v>30794.891299999999</v>
      </c>
      <c r="J416" t="s">
        <v>90</v>
      </c>
      <c r="K416" s="1">
        <v>46142</v>
      </c>
      <c r="L416" s="3">
        <v>31313.272000000001</v>
      </c>
      <c r="M416" s="3">
        <v>30825.206235000001</v>
      </c>
      <c r="N416" s="3">
        <v>27796937.974130001</v>
      </c>
      <c r="O416" s="6"/>
      <c r="P416" t="s">
        <v>196</v>
      </c>
      <c r="Q416" s="3">
        <v>95</v>
      </c>
      <c r="R416" s="5">
        <v>0.26388800000000001</v>
      </c>
      <c r="S416" s="6" t="s">
        <v>141</v>
      </c>
      <c r="T416" t="s">
        <v>21</v>
      </c>
    </row>
    <row r="417" spans="1:20" x14ac:dyDescent="0.25">
      <c r="A417" t="s">
        <v>15</v>
      </c>
      <c r="B417" t="s">
        <v>1369</v>
      </c>
      <c r="C417" t="s">
        <v>1370</v>
      </c>
      <c r="D417" t="s">
        <v>1371</v>
      </c>
      <c r="E417" t="s">
        <v>1367</v>
      </c>
      <c r="F417" t="s">
        <v>88</v>
      </c>
      <c r="G417" s="2">
        <v>46118</v>
      </c>
      <c r="H417" s="2">
        <v>46148</v>
      </c>
      <c r="I417" s="3">
        <v>10000</v>
      </c>
      <c r="J417" t="s">
        <v>90</v>
      </c>
      <c r="K417" s="1">
        <v>46142</v>
      </c>
      <c r="L417" s="3">
        <v>10050</v>
      </c>
      <c r="M417" s="3">
        <v>10039.96004</v>
      </c>
      <c r="N417" s="3">
        <v>9053634.3656339999</v>
      </c>
      <c r="O417" s="6"/>
      <c r="P417" t="s">
        <v>196</v>
      </c>
      <c r="Q417" s="3">
        <v>6</v>
      </c>
      <c r="R417" s="5">
        <v>1.6666E-2</v>
      </c>
      <c r="S417" s="6" t="s">
        <v>143</v>
      </c>
      <c r="T417" t="s">
        <v>21</v>
      </c>
    </row>
    <row r="418" spans="1:20" x14ac:dyDescent="0.25">
      <c r="A418" t="s">
        <v>15</v>
      </c>
      <c r="B418" t="s">
        <v>1369</v>
      </c>
      <c r="C418" t="s">
        <v>1370</v>
      </c>
      <c r="D418" t="s">
        <v>1371</v>
      </c>
      <c r="E418" t="s">
        <v>1367</v>
      </c>
      <c r="F418" t="s">
        <v>88</v>
      </c>
      <c r="G418" s="2">
        <v>46118</v>
      </c>
      <c r="H418" s="2">
        <v>46148</v>
      </c>
      <c r="I418" s="3">
        <v>60069.73</v>
      </c>
      <c r="J418" t="s">
        <v>90</v>
      </c>
      <c r="K418" s="1">
        <v>46142</v>
      </c>
      <c r="L418" s="3">
        <v>60299.997300000003</v>
      </c>
      <c r="M418" s="3">
        <v>60239.757541999999</v>
      </c>
      <c r="N418" s="3">
        <v>54321803.761487</v>
      </c>
      <c r="O418" s="6"/>
      <c r="P418" t="s">
        <v>196</v>
      </c>
      <c r="Q418" s="3">
        <v>6</v>
      </c>
      <c r="R418" s="5">
        <v>1.6666E-2</v>
      </c>
      <c r="S418" s="6" t="s">
        <v>143</v>
      </c>
      <c r="T418" t="s">
        <v>21</v>
      </c>
    </row>
    <row r="419" spans="1:20" x14ac:dyDescent="0.25">
      <c r="A419" t="s">
        <v>15</v>
      </c>
      <c r="B419" t="s">
        <v>1369</v>
      </c>
      <c r="C419" t="s">
        <v>1370</v>
      </c>
      <c r="D419" t="s">
        <v>1371</v>
      </c>
      <c r="E419" t="s">
        <v>1313</v>
      </c>
      <c r="F419" t="s">
        <v>88</v>
      </c>
      <c r="G419" s="2">
        <v>46108</v>
      </c>
      <c r="H419" s="2">
        <v>46209</v>
      </c>
      <c r="I419" s="3">
        <v>12094.48</v>
      </c>
      <c r="J419" t="s">
        <v>90</v>
      </c>
      <c r="K419" s="1">
        <v>46142</v>
      </c>
      <c r="L419" s="3">
        <v>12287.9917</v>
      </c>
      <c r="M419" s="3">
        <v>12152.291116</v>
      </c>
      <c r="N419" s="3">
        <v>10958450.036649</v>
      </c>
      <c r="O419" s="6" t="s">
        <v>397</v>
      </c>
      <c r="P419" t="s">
        <v>196</v>
      </c>
      <c r="Q419" s="3">
        <v>67</v>
      </c>
      <c r="R419" s="5">
        <v>0.186111</v>
      </c>
      <c r="S419" s="6" t="s">
        <v>145</v>
      </c>
      <c r="T419" t="s">
        <v>21</v>
      </c>
    </row>
    <row r="420" spans="1:20" x14ac:dyDescent="0.25">
      <c r="A420" t="s">
        <v>15</v>
      </c>
      <c r="B420" t="s">
        <v>1369</v>
      </c>
      <c r="C420" t="s">
        <v>1370</v>
      </c>
      <c r="D420" t="s">
        <v>1371</v>
      </c>
      <c r="E420" t="s">
        <v>91</v>
      </c>
      <c r="F420" t="s">
        <v>88</v>
      </c>
      <c r="G420" s="2">
        <v>46049</v>
      </c>
      <c r="H420" s="2">
        <v>46149</v>
      </c>
      <c r="I420" s="3">
        <v>50018.99</v>
      </c>
      <c r="J420" t="s">
        <v>90</v>
      </c>
      <c r="K420" s="1">
        <v>46142</v>
      </c>
      <c r="L420" s="3">
        <v>50310.767399999997</v>
      </c>
      <c r="M420" s="3">
        <v>50252.139903000003</v>
      </c>
      <c r="N420" s="3">
        <v>45315369.679330997</v>
      </c>
      <c r="O420" s="6" t="s">
        <v>177</v>
      </c>
      <c r="P420" t="s">
        <v>196</v>
      </c>
      <c r="Q420" s="3">
        <v>7</v>
      </c>
      <c r="R420" s="5">
        <v>1.9443999999999999E-2</v>
      </c>
      <c r="S420" s="6" t="s">
        <v>143</v>
      </c>
      <c r="T420" t="s">
        <v>21</v>
      </c>
    </row>
    <row r="421" spans="1:20" x14ac:dyDescent="0.25">
      <c r="A421" t="s">
        <v>15</v>
      </c>
      <c r="B421" t="s">
        <v>1369</v>
      </c>
      <c r="C421" t="s">
        <v>1370</v>
      </c>
      <c r="D421" t="s">
        <v>1371</v>
      </c>
      <c r="E421" t="s">
        <v>1327</v>
      </c>
      <c r="F421" t="s">
        <v>88</v>
      </c>
      <c r="G421" s="2">
        <v>46087</v>
      </c>
      <c r="H421" s="2">
        <v>46183</v>
      </c>
      <c r="I421" s="3">
        <v>28598.43</v>
      </c>
      <c r="J421" t="s">
        <v>90</v>
      </c>
      <c r="K421" s="1">
        <v>46142</v>
      </c>
      <c r="L421" s="3">
        <v>28927.311900000001</v>
      </c>
      <c r="M421" s="3">
        <v>28730.983512999999</v>
      </c>
      <c r="N421" s="3">
        <v>25908451.692379002</v>
      </c>
      <c r="O421" s="6" t="s">
        <v>1328</v>
      </c>
      <c r="P421" t="s">
        <v>196</v>
      </c>
      <c r="Q421" s="3">
        <v>41</v>
      </c>
      <c r="R421" s="5">
        <v>0.113888</v>
      </c>
      <c r="S421" s="6" t="s">
        <v>145</v>
      </c>
      <c r="T421" t="s">
        <v>21</v>
      </c>
    </row>
    <row r="422" spans="1:20" x14ac:dyDescent="0.25">
      <c r="A422" t="s">
        <v>15</v>
      </c>
      <c r="B422" t="s">
        <v>1369</v>
      </c>
      <c r="C422" t="s">
        <v>1370</v>
      </c>
      <c r="D422" t="s">
        <v>1371</v>
      </c>
      <c r="E422" t="s">
        <v>1327</v>
      </c>
      <c r="F422" t="s">
        <v>88</v>
      </c>
      <c r="G422" s="2">
        <v>46087</v>
      </c>
      <c r="H422" s="2">
        <v>46183</v>
      </c>
      <c r="I422" s="3">
        <v>59149.48</v>
      </c>
      <c r="J422" t="s">
        <v>90</v>
      </c>
      <c r="K422" s="1">
        <v>46142</v>
      </c>
      <c r="L422" s="3">
        <v>59829.699000000001</v>
      </c>
      <c r="M422" s="3">
        <v>59423.637476999997</v>
      </c>
      <c r="N422" s="3">
        <v>53585859.331474997</v>
      </c>
      <c r="O422" s="6" t="s">
        <v>1328</v>
      </c>
      <c r="P422" t="s">
        <v>196</v>
      </c>
      <c r="Q422" s="3">
        <v>41</v>
      </c>
      <c r="R422" s="5">
        <v>0.113888</v>
      </c>
      <c r="S422" s="6" t="s">
        <v>145</v>
      </c>
      <c r="T422" t="s">
        <v>21</v>
      </c>
    </row>
    <row r="423" spans="1:20" x14ac:dyDescent="0.25">
      <c r="A423" t="s">
        <v>15</v>
      </c>
      <c r="B423" t="s">
        <v>1369</v>
      </c>
      <c r="C423" t="s">
        <v>1370</v>
      </c>
      <c r="D423" t="s">
        <v>1371</v>
      </c>
      <c r="E423" t="s">
        <v>1372</v>
      </c>
      <c r="F423" t="s">
        <v>88</v>
      </c>
      <c r="G423" s="2">
        <v>46119</v>
      </c>
      <c r="H423" s="2">
        <v>46217</v>
      </c>
      <c r="I423" s="3">
        <v>25941.31</v>
      </c>
      <c r="J423" t="s">
        <v>90</v>
      </c>
      <c r="K423" s="1">
        <v>46142</v>
      </c>
      <c r="L423" s="3">
        <v>26360.694500000001</v>
      </c>
      <c r="M423" s="3">
        <v>26035.253827</v>
      </c>
      <c r="N423" s="3">
        <v>23477550.491179999</v>
      </c>
      <c r="O423" s="6" t="s">
        <v>191</v>
      </c>
      <c r="P423" t="s">
        <v>196</v>
      </c>
      <c r="Q423" s="3">
        <v>75</v>
      </c>
      <c r="R423" s="5">
        <v>0.20833299999999999</v>
      </c>
      <c r="S423" s="6" t="s">
        <v>145</v>
      </c>
      <c r="T423" t="s">
        <v>21</v>
      </c>
    </row>
    <row r="424" spans="1:20" x14ac:dyDescent="0.25">
      <c r="A424" t="s">
        <v>54</v>
      </c>
      <c r="B424" t="s">
        <v>103</v>
      </c>
      <c r="C424" t="s">
        <v>103</v>
      </c>
      <c r="D424" t="s">
        <v>104</v>
      </c>
      <c r="E424" t="s">
        <v>31</v>
      </c>
      <c r="F424" t="s">
        <v>19</v>
      </c>
      <c r="G424" s="2">
        <v>46077</v>
      </c>
      <c r="H424" s="2">
        <v>46175</v>
      </c>
      <c r="I424" s="3">
        <v>62945669</v>
      </c>
      <c r="J424" t="s">
        <v>20</v>
      </c>
      <c r="K424" s="1">
        <v>46142</v>
      </c>
      <c r="L424" s="3">
        <v>64029593</v>
      </c>
      <c r="M424" s="3">
        <v>63588921.772119001</v>
      </c>
      <c r="N424" s="3">
        <v>63588921.772119001</v>
      </c>
      <c r="O424" s="6" t="s">
        <v>149</v>
      </c>
      <c r="P424" t="s">
        <v>201</v>
      </c>
      <c r="Q424" s="3">
        <v>33</v>
      </c>
      <c r="R424" s="5">
        <v>9.1665999999999997E-2</v>
      </c>
      <c r="S424" s="6" t="s">
        <v>145</v>
      </c>
      <c r="T424" t="s">
        <v>21</v>
      </c>
    </row>
    <row r="425" spans="1:20" x14ac:dyDescent="0.25">
      <c r="A425" t="s">
        <v>54</v>
      </c>
      <c r="B425" t="s">
        <v>103</v>
      </c>
      <c r="C425" t="s">
        <v>103</v>
      </c>
      <c r="D425" t="s">
        <v>104</v>
      </c>
      <c r="E425" t="s">
        <v>22</v>
      </c>
      <c r="F425" t="s">
        <v>19</v>
      </c>
      <c r="G425" s="2">
        <v>46043</v>
      </c>
      <c r="H425" s="2">
        <v>46146</v>
      </c>
      <c r="I425" s="3">
        <v>62594771</v>
      </c>
      <c r="J425" t="s">
        <v>20</v>
      </c>
      <c r="K425" s="1">
        <v>46142</v>
      </c>
      <c r="L425" s="3">
        <v>63291451</v>
      </c>
      <c r="M425" s="3">
        <v>63238330.802125998</v>
      </c>
      <c r="N425" s="3">
        <v>63238330.802125998</v>
      </c>
      <c r="O425" s="6"/>
      <c r="P425" t="s">
        <v>196</v>
      </c>
      <c r="Q425" s="3">
        <v>4</v>
      </c>
      <c r="R425" s="5">
        <v>1.1110999999999999E-2</v>
      </c>
      <c r="S425" s="6" t="s">
        <v>143</v>
      </c>
      <c r="T425" t="s">
        <v>21</v>
      </c>
    </row>
    <row r="426" spans="1:20" x14ac:dyDescent="0.25">
      <c r="A426" t="s">
        <v>54</v>
      </c>
      <c r="B426" t="s">
        <v>103</v>
      </c>
      <c r="C426" t="s">
        <v>103</v>
      </c>
      <c r="D426" t="s">
        <v>104</v>
      </c>
      <c r="E426" t="s">
        <v>1338</v>
      </c>
      <c r="F426" t="s">
        <v>19</v>
      </c>
      <c r="G426" s="2">
        <v>46140</v>
      </c>
      <c r="H426" s="2">
        <v>46240</v>
      </c>
      <c r="I426" s="3">
        <v>32625984</v>
      </c>
      <c r="J426" t="s">
        <v>20</v>
      </c>
      <c r="K426" s="1">
        <v>46142</v>
      </c>
      <c r="L426" s="3">
        <v>33311130</v>
      </c>
      <c r="M426" s="3">
        <v>32639410.923200998</v>
      </c>
      <c r="N426" s="3">
        <v>32639410.923200998</v>
      </c>
      <c r="O426" s="6" t="s">
        <v>1271</v>
      </c>
      <c r="P426" t="s">
        <v>196</v>
      </c>
      <c r="Q426" s="3">
        <v>98</v>
      </c>
      <c r="R426" s="5">
        <v>0.27222200000000002</v>
      </c>
      <c r="S426" s="6" t="s">
        <v>141</v>
      </c>
      <c r="T426" t="s">
        <v>21</v>
      </c>
    </row>
    <row r="427" spans="1:20" x14ac:dyDescent="0.25">
      <c r="A427" t="s">
        <v>54</v>
      </c>
      <c r="B427" t="s">
        <v>103</v>
      </c>
      <c r="C427" t="s">
        <v>103</v>
      </c>
      <c r="D427" t="s">
        <v>104</v>
      </c>
      <c r="E427" t="s">
        <v>61</v>
      </c>
      <c r="F427" t="s">
        <v>19</v>
      </c>
      <c r="G427" s="2">
        <v>46049</v>
      </c>
      <c r="H427" s="2">
        <v>46150</v>
      </c>
      <c r="I427" s="3">
        <v>64655368</v>
      </c>
      <c r="J427" t="s">
        <v>20</v>
      </c>
      <c r="K427" s="1">
        <v>46142</v>
      </c>
      <c r="L427" s="3">
        <v>65035542</v>
      </c>
      <c r="M427" s="3">
        <v>64926465.537896</v>
      </c>
      <c r="N427" s="3">
        <v>64926465.537896</v>
      </c>
      <c r="O427" s="6" t="s">
        <v>521</v>
      </c>
      <c r="P427" t="s">
        <v>196</v>
      </c>
      <c r="Q427" s="3">
        <v>8</v>
      </c>
      <c r="R427" s="5">
        <v>2.2221999999999999E-2</v>
      </c>
      <c r="S427" s="6" t="s">
        <v>143</v>
      </c>
      <c r="T427" t="s">
        <v>21</v>
      </c>
    </row>
    <row r="428" spans="1:20" x14ac:dyDescent="0.25">
      <c r="A428" t="s">
        <v>54</v>
      </c>
      <c r="B428" t="s">
        <v>103</v>
      </c>
      <c r="C428" t="s">
        <v>103</v>
      </c>
      <c r="D428" t="s">
        <v>104</v>
      </c>
      <c r="E428" t="s">
        <v>1295</v>
      </c>
      <c r="F428" t="s">
        <v>19</v>
      </c>
      <c r="G428" s="2">
        <v>46085</v>
      </c>
      <c r="H428" s="2">
        <v>46181</v>
      </c>
      <c r="I428" s="3">
        <v>68011174</v>
      </c>
      <c r="J428" t="s">
        <v>20</v>
      </c>
      <c r="K428" s="1">
        <v>46142</v>
      </c>
      <c r="L428" s="3">
        <v>69268020</v>
      </c>
      <c r="M428" s="3">
        <v>68705323.401343003</v>
      </c>
      <c r="N428" s="3">
        <v>68705323.401343003</v>
      </c>
      <c r="O428" s="6" t="s">
        <v>278</v>
      </c>
      <c r="P428" t="s">
        <v>196</v>
      </c>
      <c r="Q428" s="3">
        <v>39</v>
      </c>
      <c r="R428" s="5">
        <v>0.108333</v>
      </c>
      <c r="S428" s="6" t="s">
        <v>145</v>
      </c>
      <c r="T428" t="s">
        <v>21</v>
      </c>
    </row>
    <row r="429" spans="1:20" x14ac:dyDescent="0.25">
      <c r="A429" t="s">
        <v>54</v>
      </c>
      <c r="B429" t="s">
        <v>103</v>
      </c>
      <c r="C429" t="s">
        <v>103</v>
      </c>
      <c r="D429" t="s">
        <v>104</v>
      </c>
      <c r="E429" t="s">
        <v>37</v>
      </c>
      <c r="F429" t="s">
        <v>19</v>
      </c>
      <c r="G429" s="2">
        <v>46050</v>
      </c>
      <c r="H429" s="2">
        <v>46153</v>
      </c>
      <c r="I429" s="3">
        <v>28015165</v>
      </c>
      <c r="J429" t="s">
        <v>20</v>
      </c>
      <c r="K429" s="1">
        <v>46142</v>
      </c>
      <c r="L429" s="3">
        <v>28368156</v>
      </c>
      <c r="M429" s="3">
        <v>28302776.586086001</v>
      </c>
      <c r="N429" s="3">
        <v>28302776.586086001</v>
      </c>
      <c r="O429" s="6" t="s">
        <v>153</v>
      </c>
      <c r="P429" t="s">
        <v>196</v>
      </c>
      <c r="Q429" s="3">
        <v>11</v>
      </c>
      <c r="R429" s="5">
        <v>3.0554999999999999E-2</v>
      </c>
      <c r="S429" s="6" t="s">
        <v>143</v>
      </c>
      <c r="T429" t="s">
        <v>21</v>
      </c>
    </row>
    <row r="430" spans="1:20" x14ac:dyDescent="0.25">
      <c r="A430" t="s">
        <v>54</v>
      </c>
      <c r="B430" t="s">
        <v>103</v>
      </c>
      <c r="C430" t="s">
        <v>103</v>
      </c>
      <c r="D430" t="s">
        <v>104</v>
      </c>
      <c r="E430" t="s">
        <v>27</v>
      </c>
      <c r="F430" t="s">
        <v>19</v>
      </c>
      <c r="G430" s="2">
        <v>46052</v>
      </c>
      <c r="H430" s="2">
        <v>46160</v>
      </c>
      <c r="I430" s="3">
        <v>11505620</v>
      </c>
      <c r="J430" t="s">
        <v>20</v>
      </c>
      <c r="K430" s="1">
        <v>46142</v>
      </c>
      <c r="L430" s="3">
        <v>11667504</v>
      </c>
      <c r="M430" s="3">
        <v>11623566.917053999</v>
      </c>
      <c r="N430" s="3">
        <v>11623566.917053999</v>
      </c>
      <c r="O430" s="6" t="s">
        <v>452</v>
      </c>
      <c r="P430" t="s">
        <v>196</v>
      </c>
      <c r="Q430" s="3">
        <v>18</v>
      </c>
      <c r="R430" s="5">
        <v>0.05</v>
      </c>
      <c r="S430" s="6" t="s">
        <v>143</v>
      </c>
      <c r="T430" t="s">
        <v>21</v>
      </c>
    </row>
    <row r="431" spans="1:20" x14ac:dyDescent="0.25">
      <c r="A431" t="s">
        <v>54</v>
      </c>
      <c r="B431" t="s">
        <v>103</v>
      </c>
      <c r="C431" t="s">
        <v>103</v>
      </c>
      <c r="D431" t="s">
        <v>104</v>
      </c>
      <c r="E431" t="s">
        <v>27</v>
      </c>
      <c r="F431" t="s">
        <v>19</v>
      </c>
      <c r="G431" s="2">
        <v>46052</v>
      </c>
      <c r="H431" s="2">
        <v>46160</v>
      </c>
      <c r="I431" s="3">
        <v>16714066</v>
      </c>
      <c r="J431" t="s">
        <v>20</v>
      </c>
      <c r="K431" s="1">
        <v>46142</v>
      </c>
      <c r="L431" s="3">
        <v>16949233</v>
      </c>
      <c r="M431" s="3">
        <v>16885406.164696999</v>
      </c>
      <c r="N431" s="3">
        <v>16885406.164696999</v>
      </c>
      <c r="O431" s="6" t="s">
        <v>452</v>
      </c>
      <c r="P431" t="s">
        <v>196</v>
      </c>
      <c r="Q431" s="3">
        <v>18</v>
      </c>
      <c r="R431" s="5">
        <v>0.05</v>
      </c>
      <c r="S431" s="6" t="s">
        <v>143</v>
      </c>
      <c r="T431" t="s">
        <v>21</v>
      </c>
    </row>
    <row r="432" spans="1:20" x14ac:dyDescent="0.25">
      <c r="A432" t="s">
        <v>54</v>
      </c>
      <c r="B432" t="s">
        <v>103</v>
      </c>
      <c r="C432" t="s">
        <v>103</v>
      </c>
      <c r="D432" t="s">
        <v>104</v>
      </c>
      <c r="E432" t="s">
        <v>1311</v>
      </c>
      <c r="F432" t="s">
        <v>19</v>
      </c>
      <c r="G432" s="2">
        <v>46094</v>
      </c>
      <c r="H432" s="2">
        <v>46192</v>
      </c>
      <c r="I432" s="3">
        <v>25617708</v>
      </c>
      <c r="J432" t="s">
        <v>20</v>
      </c>
      <c r="K432" s="1">
        <v>46142</v>
      </c>
      <c r="L432" s="3">
        <v>26144920</v>
      </c>
      <c r="M432" s="3">
        <v>25873250.865908001</v>
      </c>
      <c r="N432" s="3">
        <v>25873250.865908001</v>
      </c>
      <c r="O432" s="6"/>
      <c r="P432" t="s">
        <v>196</v>
      </c>
      <c r="Q432" s="3">
        <v>50</v>
      </c>
      <c r="R432" s="5">
        <v>0.13888800000000001</v>
      </c>
      <c r="S432" s="6" t="s">
        <v>145</v>
      </c>
      <c r="T432" t="s">
        <v>21</v>
      </c>
    </row>
    <row r="433" spans="1:20" x14ac:dyDescent="0.25">
      <c r="A433" t="s">
        <v>54</v>
      </c>
      <c r="B433" t="s">
        <v>103</v>
      </c>
      <c r="C433" t="s">
        <v>103</v>
      </c>
      <c r="D433" t="s">
        <v>104</v>
      </c>
      <c r="E433" t="s">
        <v>71</v>
      </c>
      <c r="F433" t="s">
        <v>19</v>
      </c>
      <c r="G433" s="2">
        <v>46062</v>
      </c>
      <c r="H433" s="2">
        <v>46162</v>
      </c>
      <c r="I433" s="3">
        <v>15549794</v>
      </c>
      <c r="J433" t="s">
        <v>20</v>
      </c>
      <c r="K433" s="1">
        <v>46142</v>
      </c>
      <c r="L433" s="3">
        <v>15775111</v>
      </c>
      <c r="M433" s="3">
        <v>15709132.642899999</v>
      </c>
      <c r="N433" s="3">
        <v>15709132.642899999</v>
      </c>
      <c r="O433" s="6" t="s">
        <v>1341</v>
      </c>
      <c r="P433" t="s">
        <v>196</v>
      </c>
      <c r="Q433" s="3">
        <v>20</v>
      </c>
      <c r="R433" s="5">
        <v>5.5555E-2</v>
      </c>
      <c r="S433" s="6" t="s">
        <v>143</v>
      </c>
      <c r="T433" t="s">
        <v>21</v>
      </c>
    </row>
    <row r="434" spans="1:20" x14ac:dyDescent="0.25">
      <c r="A434" t="s">
        <v>54</v>
      </c>
      <c r="B434" t="s">
        <v>103</v>
      </c>
      <c r="C434" t="s">
        <v>103</v>
      </c>
      <c r="D434" t="s">
        <v>104</v>
      </c>
      <c r="E434" t="s">
        <v>1298</v>
      </c>
      <c r="F434" t="s">
        <v>19</v>
      </c>
      <c r="G434" s="2">
        <v>46098</v>
      </c>
      <c r="H434" s="2">
        <v>46196</v>
      </c>
      <c r="I434" s="3">
        <v>24657816</v>
      </c>
      <c r="J434" t="s">
        <v>20</v>
      </c>
      <c r="K434" s="1">
        <v>46142</v>
      </c>
      <c r="L434" s="3">
        <v>25165274</v>
      </c>
      <c r="M434" s="3">
        <v>24883099.649969</v>
      </c>
      <c r="N434" s="3">
        <v>24883099.649969</v>
      </c>
      <c r="O434" s="6" t="s">
        <v>248</v>
      </c>
      <c r="P434" t="s">
        <v>196</v>
      </c>
      <c r="Q434" s="3">
        <v>54</v>
      </c>
      <c r="R434" s="5">
        <v>0.15</v>
      </c>
      <c r="S434" s="6" t="s">
        <v>145</v>
      </c>
      <c r="T434" t="s">
        <v>21</v>
      </c>
    </row>
    <row r="435" spans="1:20" x14ac:dyDescent="0.25">
      <c r="A435" t="s">
        <v>54</v>
      </c>
      <c r="B435" t="s">
        <v>103</v>
      </c>
      <c r="C435" t="s">
        <v>103</v>
      </c>
      <c r="D435" t="s">
        <v>104</v>
      </c>
      <c r="E435" t="s">
        <v>1347</v>
      </c>
      <c r="F435" t="s">
        <v>19</v>
      </c>
      <c r="G435" s="2">
        <v>46133</v>
      </c>
      <c r="H435" s="2">
        <v>46232</v>
      </c>
      <c r="I435" s="3">
        <v>6981279</v>
      </c>
      <c r="J435" t="s">
        <v>20</v>
      </c>
      <c r="K435" s="1">
        <v>46142</v>
      </c>
      <c r="L435" s="3">
        <v>7126420</v>
      </c>
      <c r="M435" s="3">
        <v>6994229.0705660004</v>
      </c>
      <c r="N435" s="3">
        <v>6994229.0705660004</v>
      </c>
      <c r="O435" s="6" t="s">
        <v>153</v>
      </c>
      <c r="P435" t="s">
        <v>196</v>
      </c>
      <c r="Q435" s="3">
        <v>90</v>
      </c>
      <c r="R435" s="5">
        <v>0.25</v>
      </c>
      <c r="S435" s="6" t="s">
        <v>145</v>
      </c>
      <c r="T435" t="s">
        <v>21</v>
      </c>
    </row>
    <row r="436" spans="1:20" x14ac:dyDescent="0.25">
      <c r="A436" t="s">
        <v>54</v>
      </c>
      <c r="B436" t="s">
        <v>103</v>
      </c>
      <c r="C436" t="s">
        <v>103</v>
      </c>
      <c r="D436" t="s">
        <v>104</v>
      </c>
      <c r="E436" t="s">
        <v>1347</v>
      </c>
      <c r="F436" t="s">
        <v>19</v>
      </c>
      <c r="G436" s="2">
        <v>46133</v>
      </c>
      <c r="H436" s="2">
        <v>46232</v>
      </c>
      <c r="I436" s="3">
        <v>7146087</v>
      </c>
      <c r="J436" t="s">
        <v>20</v>
      </c>
      <c r="K436" s="1">
        <v>46142</v>
      </c>
      <c r="L436" s="3">
        <v>7294654</v>
      </c>
      <c r="M436" s="3">
        <v>7159342.4281090004</v>
      </c>
      <c r="N436" s="3">
        <v>7159342.4281090004</v>
      </c>
      <c r="O436" s="6" t="s">
        <v>153</v>
      </c>
      <c r="P436" t="s">
        <v>196</v>
      </c>
      <c r="Q436" s="3">
        <v>90</v>
      </c>
      <c r="R436" s="5">
        <v>0.25</v>
      </c>
      <c r="S436" s="6" t="s">
        <v>145</v>
      </c>
      <c r="T436" t="s">
        <v>21</v>
      </c>
    </row>
    <row r="437" spans="1:20" x14ac:dyDescent="0.25">
      <c r="A437" t="s">
        <v>54</v>
      </c>
      <c r="B437" t="s">
        <v>103</v>
      </c>
      <c r="C437" t="s">
        <v>103</v>
      </c>
      <c r="D437" t="s">
        <v>104</v>
      </c>
      <c r="E437" t="s">
        <v>1320</v>
      </c>
      <c r="F437" t="s">
        <v>19</v>
      </c>
      <c r="G437" s="2">
        <v>46106</v>
      </c>
      <c r="H437" s="2">
        <v>46205</v>
      </c>
      <c r="I437" s="3">
        <v>157466512</v>
      </c>
      <c r="J437" t="s">
        <v>20</v>
      </c>
      <c r="K437" s="1">
        <v>46142</v>
      </c>
      <c r="L437" s="3">
        <v>160740241</v>
      </c>
      <c r="M437" s="3">
        <v>158641415.078511</v>
      </c>
      <c r="N437" s="3">
        <v>158641415.078511</v>
      </c>
      <c r="O437" s="6" t="s">
        <v>319</v>
      </c>
      <c r="P437" t="s">
        <v>201</v>
      </c>
      <c r="Q437" s="3">
        <v>63</v>
      </c>
      <c r="R437" s="5">
        <v>0.17499999999999999</v>
      </c>
      <c r="S437" s="6" t="s">
        <v>145</v>
      </c>
      <c r="T437" t="s">
        <v>21</v>
      </c>
    </row>
    <row r="438" spans="1:20" x14ac:dyDescent="0.25">
      <c r="A438" t="s">
        <v>54</v>
      </c>
      <c r="B438" t="s">
        <v>103</v>
      </c>
      <c r="C438" t="s">
        <v>103</v>
      </c>
      <c r="D438" t="s">
        <v>104</v>
      </c>
      <c r="E438" t="s">
        <v>43</v>
      </c>
      <c r="F438" t="s">
        <v>19</v>
      </c>
      <c r="G438" s="2">
        <v>46043</v>
      </c>
      <c r="H438" s="2">
        <v>46146</v>
      </c>
      <c r="I438" s="3">
        <v>46979717</v>
      </c>
      <c r="J438" t="s">
        <v>20</v>
      </c>
      <c r="K438" s="1">
        <v>46142</v>
      </c>
      <c r="L438" s="3">
        <v>47502601</v>
      </c>
      <c r="M438" s="3">
        <v>47462732.304863997</v>
      </c>
      <c r="N438" s="3">
        <v>47462732.304863997</v>
      </c>
      <c r="O438" s="6"/>
      <c r="P438" t="s">
        <v>196</v>
      </c>
      <c r="Q438" s="3">
        <v>4</v>
      </c>
      <c r="R438" s="5">
        <v>1.1110999999999999E-2</v>
      </c>
      <c r="S438" s="6" t="s">
        <v>143</v>
      </c>
      <c r="T438" t="s">
        <v>21</v>
      </c>
    </row>
    <row r="439" spans="1:20" x14ac:dyDescent="0.25">
      <c r="A439" t="s">
        <v>54</v>
      </c>
      <c r="B439" t="s">
        <v>103</v>
      </c>
      <c r="C439" t="s">
        <v>103</v>
      </c>
      <c r="D439" t="s">
        <v>104</v>
      </c>
      <c r="E439" t="s">
        <v>44</v>
      </c>
      <c r="F439" t="s">
        <v>19</v>
      </c>
      <c r="G439" s="2">
        <v>46048</v>
      </c>
      <c r="H439" s="2">
        <v>46147</v>
      </c>
      <c r="I439" s="3">
        <v>661353079</v>
      </c>
      <c r="J439" t="s">
        <v>20</v>
      </c>
      <c r="K439" s="1">
        <v>46142</v>
      </c>
      <c r="L439" s="3">
        <v>668852823</v>
      </c>
      <c r="M439" s="3">
        <v>668151264.17261899</v>
      </c>
      <c r="N439" s="3">
        <v>668151264.17261899</v>
      </c>
      <c r="O439" s="6"/>
      <c r="P439" t="s">
        <v>196</v>
      </c>
      <c r="Q439" s="3">
        <v>5</v>
      </c>
      <c r="R439" s="5">
        <v>1.3887999999999999E-2</v>
      </c>
      <c r="S439" s="6" t="s">
        <v>143</v>
      </c>
      <c r="T439" t="s">
        <v>21</v>
      </c>
    </row>
    <row r="440" spans="1:20" x14ac:dyDescent="0.25">
      <c r="A440" t="s">
        <v>54</v>
      </c>
      <c r="B440" t="s">
        <v>103</v>
      </c>
      <c r="C440" t="s">
        <v>103</v>
      </c>
      <c r="D440" t="s">
        <v>104</v>
      </c>
      <c r="E440" t="s">
        <v>1351</v>
      </c>
      <c r="F440" t="s">
        <v>19</v>
      </c>
      <c r="G440" s="2">
        <v>46140</v>
      </c>
      <c r="H440" s="2">
        <v>46240</v>
      </c>
      <c r="I440" s="3">
        <v>57405530</v>
      </c>
      <c r="J440" t="s">
        <v>20</v>
      </c>
      <c r="K440" s="1">
        <v>46142</v>
      </c>
      <c r="L440" s="3">
        <v>58611046</v>
      </c>
      <c r="M440" s="3">
        <v>57429154.010465004</v>
      </c>
      <c r="N440" s="3">
        <v>57429154.010465004</v>
      </c>
      <c r="O440" s="6" t="s">
        <v>200</v>
      </c>
      <c r="P440" t="s">
        <v>1349</v>
      </c>
      <c r="Q440" s="3">
        <v>98</v>
      </c>
      <c r="R440" s="5">
        <v>0.27222200000000002</v>
      </c>
      <c r="S440" s="6" t="s">
        <v>141</v>
      </c>
      <c r="T440" t="s">
        <v>21</v>
      </c>
    </row>
    <row r="441" spans="1:20" x14ac:dyDescent="0.25">
      <c r="A441" t="s">
        <v>54</v>
      </c>
      <c r="B441" t="s">
        <v>103</v>
      </c>
      <c r="C441" t="s">
        <v>103</v>
      </c>
      <c r="D441" t="s">
        <v>104</v>
      </c>
      <c r="E441" t="s">
        <v>45</v>
      </c>
      <c r="F441" t="s">
        <v>19</v>
      </c>
      <c r="G441" s="2">
        <v>46050</v>
      </c>
      <c r="H441" s="2">
        <v>46153</v>
      </c>
      <c r="I441" s="3">
        <v>481844896</v>
      </c>
      <c r="J441" t="s">
        <v>20</v>
      </c>
      <c r="K441" s="1">
        <v>46142</v>
      </c>
      <c r="L441" s="3">
        <v>487916142</v>
      </c>
      <c r="M441" s="3">
        <v>486791653.28092098</v>
      </c>
      <c r="N441" s="3">
        <v>486791653.28092098</v>
      </c>
      <c r="O441" s="6"/>
      <c r="P441" t="s">
        <v>196</v>
      </c>
      <c r="Q441" s="3">
        <v>11</v>
      </c>
      <c r="R441" s="5">
        <v>3.0554999999999999E-2</v>
      </c>
      <c r="S441" s="6" t="s">
        <v>143</v>
      </c>
      <c r="T441" t="s">
        <v>21</v>
      </c>
    </row>
    <row r="442" spans="1:20" x14ac:dyDescent="0.25">
      <c r="A442" t="s">
        <v>54</v>
      </c>
      <c r="B442" t="s">
        <v>103</v>
      </c>
      <c r="C442" t="s">
        <v>103</v>
      </c>
      <c r="D442" t="s">
        <v>104</v>
      </c>
      <c r="E442" t="s">
        <v>45</v>
      </c>
      <c r="F442" t="s">
        <v>19</v>
      </c>
      <c r="G442" s="2">
        <v>46050</v>
      </c>
      <c r="H442" s="2">
        <v>46153</v>
      </c>
      <c r="I442" s="3">
        <v>56936213</v>
      </c>
      <c r="J442" t="s">
        <v>20</v>
      </c>
      <c r="K442" s="1">
        <v>46142</v>
      </c>
      <c r="L442" s="3">
        <v>57653609</v>
      </c>
      <c r="M442" s="3">
        <v>57520736.099610001</v>
      </c>
      <c r="N442" s="3">
        <v>57520736.099610001</v>
      </c>
      <c r="O442" s="6"/>
      <c r="P442" t="s">
        <v>196</v>
      </c>
      <c r="Q442" s="3">
        <v>11</v>
      </c>
      <c r="R442" s="5">
        <v>3.0554999999999999E-2</v>
      </c>
      <c r="S442" s="6" t="s">
        <v>143</v>
      </c>
      <c r="T442" t="s">
        <v>21</v>
      </c>
    </row>
    <row r="443" spans="1:20" x14ac:dyDescent="0.25">
      <c r="A443" t="s">
        <v>54</v>
      </c>
      <c r="B443" t="s">
        <v>103</v>
      </c>
      <c r="C443" t="s">
        <v>103</v>
      </c>
      <c r="D443" t="s">
        <v>104</v>
      </c>
      <c r="E443" t="s">
        <v>47</v>
      </c>
      <c r="F443" t="s">
        <v>19</v>
      </c>
      <c r="G443" s="2">
        <v>46052</v>
      </c>
      <c r="H443" s="2">
        <v>46155</v>
      </c>
      <c r="I443" s="3">
        <v>257168064</v>
      </c>
      <c r="J443" t="s">
        <v>20</v>
      </c>
      <c r="K443" s="1">
        <v>46142</v>
      </c>
      <c r="L443" s="3">
        <v>260516392</v>
      </c>
      <c r="M443" s="3">
        <v>259807118.56631401</v>
      </c>
      <c r="N443" s="3">
        <v>259807118.56631401</v>
      </c>
      <c r="O443" s="6" t="s">
        <v>1282</v>
      </c>
      <c r="P443" t="s">
        <v>201</v>
      </c>
      <c r="Q443" s="3">
        <v>13</v>
      </c>
      <c r="R443" s="5">
        <v>3.6110999999999997E-2</v>
      </c>
      <c r="S443" s="6" t="s">
        <v>143</v>
      </c>
      <c r="T443" t="s">
        <v>21</v>
      </c>
    </row>
    <row r="444" spans="1:20" x14ac:dyDescent="0.25">
      <c r="A444" t="s">
        <v>54</v>
      </c>
      <c r="B444" t="s">
        <v>103</v>
      </c>
      <c r="C444" t="s">
        <v>103</v>
      </c>
      <c r="D444" t="s">
        <v>104</v>
      </c>
      <c r="E444" t="s">
        <v>57</v>
      </c>
      <c r="F444" t="s">
        <v>19</v>
      </c>
      <c r="G444" s="2">
        <v>46052</v>
      </c>
      <c r="H444" s="2">
        <v>46157</v>
      </c>
      <c r="I444" s="3">
        <v>202735688</v>
      </c>
      <c r="J444" t="s">
        <v>20</v>
      </c>
      <c r="K444" s="1">
        <v>46142</v>
      </c>
      <c r="L444" s="3">
        <v>205460456</v>
      </c>
      <c r="M444" s="3">
        <v>204815287.84329399</v>
      </c>
      <c r="N444" s="3">
        <v>204815287.84329399</v>
      </c>
      <c r="O444" s="6" t="s">
        <v>167</v>
      </c>
      <c r="P444" t="s">
        <v>201</v>
      </c>
      <c r="Q444" s="3">
        <v>15</v>
      </c>
      <c r="R444" s="5">
        <v>4.1666000000000002E-2</v>
      </c>
      <c r="S444" s="6" t="s">
        <v>143</v>
      </c>
      <c r="T444" t="s">
        <v>21</v>
      </c>
    </row>
    <row r="445" spans="1:20" x14ac:dyDescent="0.25">
      <c r="A445" t="s">
        <v>54</v>
      </c>
      <c r="B445" t="s">
        <v>103</v>
      </c>
      <c r="C445" t="s">
        <v>103</v>
      </c>
      <c r="D445" t="s">
        <v>104</v>
      </c>
      <c r="E445" t="s">
        <v>1306</v>
      </c>
      <c r="F445" t="s">
        <v>19</v>
      </c>
      <c r="G445" s="2">
        <v>46091</v>
      </c>
      <c r="H445" s="2">
        <v>46189</v>
      </c>
      <c r="I445" s="3">
        <v>212935723</v>
      </c>
      <c r="J445" t="s">
        <v>20</v>
      </c>
      <c r="K445" s="1">
        <v>46142</v>
      </c>
      <c r="L445" s="3">
        <v>217228507</v>
      </c>
      <c r="M445" s="3">
        <v>215105416.538762</v>
      </c>
      <c r="N445" s="3">
        <v>215105416.538762</v>
      </c>
      <c r="O445" s="6"/>
      <c r="P445" t="s">
        <v>196</v>
      </c>
      <c r="Q445" s="3">
        <v>47</v>
      </c>
      <c r="R445" s="5">
        <v>0.130555</v>
      </c>
      <c r="S445" s="6" t="s">
        <v>145</v>
      </c>
      <c r="T445" t="s">
        <v>21</v>
      </c>
    </row>
    <row r="446" spans="1:20" x14ac:dyDescent="0.25">
      <c r="A446" t="s">
        <v>54</v>
      </c>
      <c r="B446" t="s">
        <v>103</v>
      </c>
      <c r="C446" t="s">
        <v>103</v>
      </c>
      <c r="D446" t="s">
        <v>104</v>
      </c>
      <c r="E446" t="s">
        <v>49</v>
      </c>
      <c r="F446" t="s">
        <v>19</v>
      </c>
      <c r="G446" s="2">
        <v>46052</v>
      </c>
      <c r="H446" s="2">
        <v>46160</v>
      </c>
      <c r="I446" s="3">
        <v>32683713</v>
      </c>
      <c r="J446" t="s">
        <v>20</v>
      </c>
      <c r="K446" s="1">
        <v>46142</v>
      </c>
      <c r="L446" s="3">
        <v>32875893</v>
      </c>
      <c r="M446" s="3">
        <v>32752090.099424001</v>
      </c>
      <c r="N446" s="3">
        <v>32752090.099424001</v>
      </c>
      <c r="O446" s="6" t="s">
        <v>1355</v>
      </c>
      <c r="P446" t="s">
        <v>1349</v>
      </c>
      <c r="Q446" s="3">
        <v>18</v>
      </c>
      <c r="R446" s="5">
        <v>0.05</v>
      </c>
      <c r="S446" s="6" t="s">
        <v>143</v>
      </c>
      <c r="T446" t="s">
        <v>21</v>
      </c>
    </row>
    <row r="447" spans="1:20" x14ac:dyDescent="0.25">
      <c r="A447" t="s">
        <v>54</v>
      </c>
      <c r="B447" t="s">
        <v>103</v>
      </c>
      <c r="C447" t="s">
        <v>103</v>
      </c>
      <c r="D447" t="s">
        <v>104</v>
      </c>
      <c r="E447" t="s">
        <v>1357</v>
      </c>
      <c r="F447" t="s">
        <v>19</v>
      </c>
      <c r="G447" s="2">
        <v>46128</v>
      </c>
      <c r="H447" s="2">
        <v>46227</v>
      </c>
      <c r="I447" s="3">
        <v>15298871</v>
      </c>
      <c r="J447" t="s">
        <v>20</v>
      </c>
      <c r="K447" s="1">
        <v>46142</v>
      </c>
      <c r="L447" s="3">
        <v>15616935</v>
      </c>
      <c r="M447" s="3">
        <v>15343061.354816999</v>
      </c>
      <c r="N447" s="3">
        <v>15343061.354816999</v>
      </c>
      <c r="O447" s="6"/>
      <c r="P447" t="s">
        <v>196</v>
      </c>
      <c r="Q447" s="3">
        <v>85</v>
      </c>
      <c r="R447" s="5">
        <v>0.23611099999999999</v>
      </c>
      <c r="S447" s="6" t="s">
        <v>145</v>
      </c>
      <c r="T447" t="s">
        <v>21</v>
      </c>
    </row>
    <row r="448" spans="1:20" x14ac:dyDescent="0.25">
      <c r="A448" t="s">
        <v>54</v>
      </c>
      <c r="B448" t="s">
        <v>103</v>
      </c>
      <c r="C448" t="s">
        <v>103</v>
      </c>
      <c r="D448" t="s">
        <v>104</v>
      </c>
      <c r="E448" t="s">
        <v>105</v>
      </c>
      <c r="F448" t="s">
        <v>19</v>
      </c>
      <c r="G448" s="2">
        <v>46063</v>
      </c>
      <c r="H448" s="2">
        <v>46167</v>
      </c>
      <c r="I448" s="3">
        <v>375558428</v>
      </c>
      <c r="J448" t="s">
        <v>20</v>
      </c>
      <c r="K448" s="1">
        <v>46142</v>
      </c>
      <c r="L448" s="3">
        <v>381394606</v>
      </c>
      <c r="M448" s="3">
        <v>379402741.60656601</v>
      </c>
      <c r="N448" s="3">
        <v>379402741.60656601</v>
      </c>
      <c r="O448" s="6" t="s">
        <v>182</v>
      </c>
      <c r="P448" t="s">
        <v>201</v>
      </c>
      <c r="Q448" s="3">
        <v>25</v>
      </c>
      <c r="R448" s="5">
        <v>6.9444000000000006E-2</v>
      </c>
      <c r="S448" s="6" t="s">
        <v>143</v>
      </c>
      <c r="T448" t="s">
        <v>21</v>
      </c>
    </row>
    <row r="449" spans="1:20" x14ac:dyDescent="0.25">
      <c r="A449" t="s">
        <v>54</v>
      </c>
      <c r="B449" t="s">
        <v>103</v>
      </c>
      <c r="C449" t="s">
        <v>103</v>
      </c>
      <c r="D449" t="s">
        <v>104</v>
      </c>
      <c r="E449" t="s">
        <v>66</v>
      </c>
      <c r="F449" t="s">
        <v>19</v>
      </c>
      <c r="G449" s="2">
        <v>46063</v>
      </c>
      <c r="H449" s="2">
        <v>46168</v>
      </c>
      <c r="I449" s="3">
        <v>295389828</v>
      </c>
      <c r="J449" t="s">
        <v>20</v>
      </c>
      <c r="K449" s="1">
        <v>46142</v>
      </c>
      <c r="L449" s="3">
        <v>300042218</v>
      </c>
      <c r="M449" s="3">
        <v>298412883.65524203</v>
      </c>
      <c r="N449" s="3">
        <v>298412883.65524203</v>
      </c>
      <c r="O449" s="6" t="s">
        <v>406</v>
      </c>
      <c r="P449" t="s">
        <v>300</v>
      </c>
      <c r="Q449" s="3">
        <v>26</v>
      </c>
      <c r="R449" s="5">
        <v>7.2221999999999995E-2</v>
      </c>
      <c r="S449" s="6" t="s">
        <v>143</v>
      </c>
      <c r="T449" t="s">
        <v>21</v>
      </c>
    </row>
    <row r="450" spans="1:20" x14ac:dyDescent="0.25">
      <c r="A450" t="s">
        <v>54</v>
      </c>
      <c r="B450" t="s">
        <v>103</v>
      </c>
      <c r="C450" t="s">
        <v>103</v>
      </c>
      <c r="D450" t="s">
        <v>104</v>
      </c>
      <c r="E450" t="s">
        <v>1310</v>
      </c>
      <c r="F450" t="s">
        <v>19</v>
      </c>
      <c r="G450" s="2">
        <v>46104</v>
      </c>
      <c r="H450" s="2">
        <v>46203</v>
      </c>
      <c r="I450" s="3">
        <v>62072136</v>
      </c>
      <c r="J450" t="s">
        <v>20</v>
      </c>
      <c r="K450" s="1">
        <v>46142</v>
      </c>
      <c r="L450" s="3">
        <v>63362616</v>
      </c>
      <c r="M450" s="3">
        <v>62561206.939110003</v>
      </c>
      <c r="N450" s="3">
        <v>62561206.939110003</v>
      </c>
      <c r="O450" s="6" t="s">
        <v>307</v>
      </c>
      <c r="P450" t="s">
        <v>201</v>
      </c>
      <c r="Q450" s="3">
        <v>61</v>
      </c>
      <c r="R450" s="5">
        <v>0.16944400000000001</v>
      </c>
      <c r="S450" s="6" t="s">
        <v>145</v>
      </c>
      <c r="T450" t="s">
        <v>21</v>
      </c>
    </row>
    <row r="451" spans="1:20" x14ac:dyDescent="0.25">
      <c r="A451" t="s">
        <v>32</v>
      </c>
      <c r="B451" t="s">
        <v>106</v>
      </c>
      <c r="C451" t="s">
        <v>107</v>
      </c>
      <c r="D451" t="s">
        <v>108</v>
      </c>
      <c r="E451" t="s">
        <v>30</v>
      </c>
      <c r="F451" t="s">
        <v>19</v>
      </c>
      <c r="G451" s="2">
        <v>46076</v>
      </c>
      <c r="H451" s="2">
        <v>46174</v>
      </c>
      <c r="I451" s="3">
        <v>62819933</v>
      </c>
      <c r="J451" t="s">
        <v>20</v>
      </c>
      <c r="K451" s="1">
        <v>46142</v>
      </c>
      <c r="L451" s="3">
        <v>63413581</v>
      </c>
      <c r="M451" s="3">
        <v>62990286.276224002</v>
      </c>
      <c r="N451" s="3">
        <v>62990286.276224002</v>
      </c>
      <c r="O451" s="6" t="s">
        <v>452</v>
      </c>
      <c r="P451" t="s">
        <v>196</v>
      </c>
      <c r="Q451" s="3">
        <v>32</v>
      </c>
      <c r="R451" s="5">
        <v>8.8887999999999995E-2</v>
      </c>
      <c r="S451" s="6" t="s">
        <v>145</v>
      </c>
      <c r="T451" t="s">
        <v>21</v>
      </c>
    </row>
    <row r="452" spans="1:20" x14ac:dyDescent="0.25">
      <c r="A452" t="s">
        <v>32</v>
      </c>
      <c r="B452" t="s">
        <v>106</v>
      </c>
      <c r="C452" t="s">
        <v>107</v>
      </c>
      <c r="D452" t="s">
        <v>108</v>
      </c>
      <c r="E452" t="s">
        <v>1291</v>
      </c>
      <c r="F452" t="s">
        <v>19</v>
      </c>
      <c r="G452" s="2">
        <v>46083</v>
      </c>
      <c r="H452" s="2">
        <v>46177</v>
      </c>
      <c r="I452" s="3">
        <v>4081055</v>
      </c>
      <c r="J452" t="s">
        <v>20</v>
      </c>
      <c r="K452" s="1">
        <v>46142</v>
      </c>
      <c r="L452" s="3">
        <v>4124763</v>
      </c>
      <c r="M452" s="3">
        <v>4094667.1961090001</v>
      </c>
      <c r="N452" s="3">
        <v>4094667.1961090001</v>
      </c>
      <c r="O452" s="6" t="s">
        <v>282</v>
      </c>
      <c r="P452" t="s">
        <v>196</v>
      </c>
      <c r="Q452" s="3">
        <v>35</v>
      </c>
      <c r="R452" s="5">
        <v>9.7222000000000003E-2</v>
      </c>
      <c r="S452" s="6" t="s">
        <v>145</v>
      </c>
      <c r="T452" t="s">
        <v>21</v>
      </c>
    </row>
    <row r="453" spans="1:20" x14ac:dyDescent="0.25">
      <c r="A453" t="s">
        <v>32</v>
      </c>
      <c r="B453" t="s">
        <v>106</v>
      </c>
      <c r="C453" t="s">
        <v>107</v>
      </c>
      <c r="D453" t="s">
        <v>108</v>
      </c>
      <c r="E453" t="s">
        <v>1337</v>
      </c>
      <c r="F453" t="s">
        <v>19</v>
      </c>
      <c r="G453" s="2">
        <v>46139</v>
      </c>
      <c r="H453" s="2">
        <v>46238</v>
      </c>
      <c r="I453" s="3">
        <v>6314102</v>
      </c>
      <c r="J453" t="s">
        <v>20</v>
      </c>
      <c r="K453" s="1">
        <v>46142</v>
      </c>
      <c r="L453" s="3">
        <v>6445372</v>
      </c>
      <c r="M453" s="3">
        <v>6318001.0978669999</v>
      </c>
      <c r="N453" s="3">
        <v>6318001.0978669999</v>
      </c>
      <c r="O453" s="6" t="s">
        <v>140</v>
      </c>
      <c r="P453" t="s">
        <v>201</v>
      </c>
      <c r="Q453" s="3">
        <v>96</v>
      </c>
      <c r="R453" s="5">
        <v>0.26666600000000001</v>
      </c>
      <c r="S453" s="6" t="s">
        <v>141</v>
      </c>
      <c r="T453" t="s">
        <v>21</v>
      </c>
    </row>
    <row r="454" spans="1:20" x14ac:dyDescent="0.25">
      <c r="A454" t="s">
        <v>32</v>
      </c>
      <c r="B454" t="s">
        <v>106</v>
      </c>
      <c r="C454" t="s">
        <v>107</v>
      </c>
      <c r="D454" t="s">
        <v>108</v>
      </c>
      <c r="E454" t="s">
        <v>23</v>
      </c>
      <c r="F454" t="s">
        <v>19</v>
      </c>
      <c r="G454" s="2">
        <v>46049</v>
      </c>
      <c r="H454" s="2">
        <v>46149</v>
      </c>
      <c r="I454" s="3">
        <v>3562738</v>
      </c>
      <c r="J454" t="s">
        <v>20</v>
      </c>
      <c r="K454" s="1">
        <v>46142</v>
      </c>
      <c r="L454" s="3">
        <v>3579946</v>
      </c>
      <c r="M454" s="3">
        <v>3574691.2039299998</v>
      </c>
      <c r="N454" s="3">
        <v>3574691.2039299998</v>
      </c>
      <c r="O454" s="6" t="s">
        <v>521</v>
      </c>
      <c r="P454" t="s">
        <v>196</v>
      </c>
      <c r="Q454" s="3">
        <v>7</v>
      </c>
      <c r="R454" s="5">
        <v>1.9443999999999999E-2</v>
      </c>
      <c r="S454" s="6" t="s">
        <v>143</v>
      </c>
      <c r="T454" t="s">
        <v>21</v>
      </c>
    </row>
    <row r="455" spans="1:20" x14ac:dyDescent="0.25">
      <c r="A455" t="s">
        <v>32</v>
      </c>
      <c r="B455" t="s">
        <v>106</v>
      </c>
      <c r="C455" t="s">
        <v>107</v>
      </c>
      <c r="D455" t="s">
        <v>108</v>
      </c>
      <c r="E455" t="s">
        <v>1358</v>
      </c>
      <c r="F455" t="s">
        <v>19</v>
      </c>
      <c r="G455" s="2">
        <v>46141</v>
      </c>
      <c r="H455" s="2">
        <v>46244</v>
      </c>
      <c r="I455" s="3">
        <v>12503320</v>
      </c>
      <c r="J455" t="s">
        <v>20</v>
      </c>
      <c r="K455" s="1">
        <v>46142</v>
      </c>
      <c r="L455" s="3">
        <v>12773767</v>
      </c>
      <c r="M455" s="3">
        <v>12505890.818663999</v>
      </c>
      <c r="N455" s="3">
        <v>12505890.818663999</v>
      </c>
      <c r="O455" s="6" t="s">
        <v>452</v>
      </c>
      <c r="P455" t="s">
        <v>196</v>
      </c>
      <c r="Q455" s="3">
        <v>102</v>
      </c>
      <c r="R455" s="5">
        <v>0.283333</v>
      </c>
      <c r="S455" s="6" t="s">
        <v>141</v>
      </c>
      <c r="T455" t="s">
        <v>21</v>
      </c>
    </row>
    <row r="456" spans="1:20" x14ac:dyDescent="0.25">
      <c r="A456" t="s">
        <v>32</v>
      </c>
      <c r="B456" t="s">
        <v>106</v>
      </c>
      <c r="C456" t="s">
        <v>107</v>
      </c>
      <c r="D456" t="s">
        <v>108</v>
      </c>
      <c r="E456" t="s">
        <v>1363</v>
      </c>
      <c r="F456" t="s">
        <v>19</v>
      </c>
      <c r="G456" s="2">
        <v>46119</v>
      </c>
      <c r="H456" s="2">
        <v>46217</v>
      </c>
      <c r="I456" s="3">
        <v>16535152</v>
      </c>
      <c r="J456" t="s">
        <v>20</v>
      </c>
      <c r="K456" s="1">
        <v>46142</v>
      </c>
      <c r="L456" s="3">
        <v>16875445</v>
      </c>
      <c r="M456" s="3">
        <v>16613777.996554</v>
      </c>
      <c r="N456" s="3">
        <v>16613777.996554</v>
      </c>
      <c r="O456" s="6" t="s">
        <v>140</v>
      </c>
      <c r="P456" t="s">
        <v>201</v>
      </c>
      <c r="Q456" s="3">
        <v>75</v>
      </c>
      <c r="R456" s="5">
        <v>0.20833299999999999</v>
      </c>
      <c r="S456" s="6" t="s">
        <v>145</v>
      </c>
      <c r="T456" t="s">
        <v>21</v>
      </c>
    </row>
    <row r="457" spans="1:20" x14ac:dyDescent="0.25">
      <c r="A457" t="s">
        <v>32</v>
      </c>
      <c r="B457" t="s">
        <v>106</v>
      </c>
      <c r="C457" t="s">
        <v>107</v>
      </c>
      <c r="D457" t="s">
        <v>108</v>
      </c>
      <c r="E457" t="s">
        <v>26</v>
      </c>
      <c r="F457" t="s">
        <v>19</v>
      </c>
      <c r="G457" s="2">
        <v>46052</v>
      </c>
      <c r="H457" s="2">
        <v>46157</v>
      </c>
      <c r="I457" s="3">
        <v>35016658</v>
      </c>
      <c r="J457" t="s">
        <v>20</v>
      </c>
      <c r="K457" s="1">
        <v>46142</v>
      </c>
      <c r="L457" s="3">
        <v>35244616</v>
      </c>
      <c r="M457" s="3">
        <v>35133944.076159999</v>
      </c>
      <c r="N457" s="3">
        <v>35133944.076159999</v>
      </c>
      <c r="O457" s="6" t="s">
        <v>521</v>
      </c>
      <c r="P457" t="s">
        <v>196</v>
      </c>
      <c r="Q457" s="3">
        <v>15</v>
      </c>
      <c r="R457" s="5">
        <v>4.1666000000000002E-2</v>
      </c>
      <c r="S457" s="6" t="s">
        <v>143</v>
      </c>
      <c r="T457" t="s">
        <v>21</v>
      </c>
    </row>
    <row r="458" spans="1:20" x14ac:dyDescent="0.25">
      <c r="A458" t="s">
        <v>32</v>
      </c>
      <c r="B458" t="s">
        <v>106</v>
      </c>
      <c r="C458" t="s">
        <v>107</v>
      </c>
      <c r="D458" t="s">
        <v>108</v>
      </c>
      <c r="E458" t="s">
        <v>1296</v>
      </c>
      <c r="F458" t="s">
        <v>19</v>
      </c>
      <c r="G458" s="2">
        <v>46092</v>
      </c>
      <c r="H458" s="2">
        <v>46190</v>
      </c>
      <c r="I458" s="3">
        <v>4776894</v>
      </c>
      <c r="J458" t="s">
        <v>20</v>
      </c>
      <c r="K458" s="1">
        <v>46142</v>
      </c>
      <c r="L458" s="3">
        <v>4841095</v>
      </c>
      <c r="M458" s="3">
        <v>4792783.7399019999</v>
      </c>
      <c r="N458" s="3">
        <v>4792783.7399019999</v>
      </c>
      <c r="O458" s="6" t="s">
        <v>454</v>
      </c>
      <c r="P458" t="s">
        <v>196</v>
      </c>
      <c r="Q458" s="3">
        <v>48</v>
      </c>
      <c r="R458" s="5">
        <v>0.13333300000000001</v>
      </c>
      <c r="S458" s="6" t="s">
        <v>145</v>
      </c>
      <c r="T458" t="s">
        <v>21</v>
      </c>
    </row>
    <row r="459" spans="1:20" x14ac:dyDescent="0.25">
      <c r="A459" t="s">
        <v>32</v>
      </c>
      <c r="B459" t="s">
        <v>106</v>
      </c>
      <c r="C459" t="s">
        <v>107</v>
      </c>
      <c r="D459" t="s">
        <v>108</v>
      </c>
      <c r="E459" t="s">
        <v>27</v>
      </c>
      <c r="F459" t="s">
        <v>19</v>
      </c>
      <c r="G459" s="2">
        <v>46052</v>
      </c>
      <c r="H459" s="2">
        <v>46160</v>
      </c>
      <c r="I459" s="3">
        <v>6560968</v>
      </c>
      <c r="J459" t="s">
        <v>20</v>
      </c>
      <c r="K459" s="1">
        <v>46142</v>
      </c>
      <c r="L459" s="3">
        <v>6607813</v>
      </c>
      <c r="M459" s="3">
        <v>6582929.5263900002</v>
      </c>
      <c r="N459" s="3">
        <v>6582929.5263900002</v>
      </c>
      <c r="O459" s="6" t="s">
        <v>452</v>
      </c>
      <c r="P459" t="s">
        <v>196</v>
      </c>
      <c r="Q459" s="3">
        <v>18</v>
      </c>
      <c r="R459" s="5">
        <v>0.05</v>
      </c>
      <c r="S459" s="6" t="s">
        <v>143</v>
      </c>
      <c r="T459" t="s">
        <v>21</v>
      </c>
    </row>
    <row r="460" spans="1:20" x14ac:dyDescent="0.25">
      <c r="A460" t="s">
        <v>32</v>
      </c>
      <c r="B460" t="s">
        <v>106</v>
      </c>
      <c r="C460" t="s">
        <v>107</v>
      </c>
      <c r="D460" t="s">
        <v>108</v>
      </c>
      <c r="E460" t="s">
        <v>1297</v>
      </c>
      <c r="F460" t="s">
        <v>19</v>
      </c>
      <c r="G460" s="2">
        <v>46093</v>
      </c>
      <c r="H460" s="2">
        <v>46191</v>
      </c>
      <c r="I460" s="3">
        <v>37524122</v>
      </c>
      <c r="J460" t="s">
        <v>20</v>
      </c>
      <c r="K460" s="1">
        <v>46142</v>
      </c>
      <c r="L460" s="3">
        <v>38296368</v>
      </c>
      <c r="M460" s="3">
        <v>37906312.049015999</v>
      </c>
      <c r="N460" s="3">
        <v>37906312.049015999</v>
      </c>
      <c r="O460" s="6" t="s">
        <v>454</v>
      </c>
      <c r="P460" t="s">
        <v>196</v>
      </c>
      <c r="Q460" s="3">
        <v>49</v>
      </c>
      <c r="R460" s="5">
        <v>0.13611100000000001</v>
      </c>
      <c r="S460" s="6" t="s">
        <v>145</v>
      </c>
      <c r="T460" t="s">
        <v>21</v>
      </c>
    </row>
    <row r="461" spans="1:20" x14ac:dyDescent="0.25">
      <c r="A461" t="s">
        <v>32</v>
      </c>
      <c r="B461" t="s">
        <v>106</v>
      </c>
      <c r="C461" t="s">
        <v>107</v>
      </c>
      <c r="D461" t="s">
        <v>108</v>
      </c>
      <c r="E461" t="s">
        <v>71</v>
      </c>
      <c r="F461" t="s">
        <v>19</v>
      </c>
      <c r="G461" s="2">
        <v>46062</v>
      </c>
      <c r="H461" s="2">
        <v>46162</v>
      </c>
      <c r="I461" s="3">
        <v>5524870</v>
      </c>
      <c r="J461" t="s">
        <v>20</v>
      </c>
      <c r="K461" s="1">
        <v>46142</v>
      </c>
      <c r="L461" s="3">
        <v>5566638</v>
      </c>
      <c r="M461" s="3">
        <v>5543355.9051980004</v>
      </c>
      <c r="N461" s="3">
        <v>5543355.9051980004</v>
      </c>
      <c r="O461" s="6" t="s">
        <v>1341</v>
      </c>
      <c r="P461" t="s">
        <v>196</v>
      </c>
      <c r="Q461" s="3">
        <v>20</v>
      </c>
      <c r="R461" s="5">
        <v>5.5555E-2</v>
      </c>
      <c r="S461" s="6" t="s">
        <v>143</v>
      </c>
      <c r="T461" t="s">
        <v>21</v>
      </c>
    </row>
    <row r="462" spans="1:20" x14ac:dyDescent="0.25">
      <c r="A462" t="s">
        <v>32</v>
      </c>
      <c r="B462" t="s">
        <v>106</v>
      </c>
      <c r="C462" t="s">
        <v>107</v>
      </c>
      <c r="D462" t="s">
        <v>108</v>
      </c>
      <c r="E462" t="s">
        <v>1342</v>
      </c>
      <c r="F462" t="s">
        <v>19</v>
      </c>
      <c r="G462" s="2">
        <v>46122</v>
      </c>
      <c r="H462" s="2">
        <v>46223</v>
      </c>
      <c r="I462" s="3">
        <v>8246532</v>
      </c>
      <c r="J462" t="s">
        <v>20</v>
      </c>
      <c r="K462" s="1">
        <v>46142</v>
      </c>
      <c r="L462" s="3">
        <v>8421441</v>
      </c>
      <c r="M462" s="3">
        <v>8280588.1948060002</v>
      </c>
      <c r="N462" s="3">
        <v>8280588.1948060002</v>
      </c>
      <c r="O462" s="6" t="s">
        <v>1264</v>
      </c>
      <c r="P462" t="s">
        <v>196</v>
      </c>
      <c r="Q462" s="3">
        <v>81</v>
      </c>
      <c r="R462" s="5">
        <v>0.22500000000000001</v>
      </c>
      <c r="S462" s="6" t="s">
        <v>145</v>
      </c>
      <c r="T462" t="s">
        <v>21</v>
      </c>
    </row>
    <row r="463" spans="1:20" x14ac:dyDescent="0.25">
      <c r="A463" t="s">
        <v>32</v>
      </c>
      <c r="B463" t="s">
        <v>106</v>
      </c>
      <c r="C463" t="s">
        <v>107</v>
      </c>
      <c r="D463" t="s">
        <v>108</v>
      </c>
      <c r="E463" t="s">
        <v>1332</v>
      </c>
      <c r="F463" t="s">
        <v>19</v>
      </c>
      <c r="G463" s="2">
        <v>46125</v>
      </c>
      <c r="H463" s="2">
        <v>46224</v>
      </c>
      <c r="I463" s="3">
        <v>41739343</v>
      </c>
      <c r="J463" t="s">
        <v>20</v>
      </c>
      <c r="K463" s="1">
        <v>46142</v>
      </c>
      <c r="L463" s="3">
        <v>42607104</v>
      </c>
      <c r="M463" s="3">
        <v>41885830.007275</v>
      </c>
      <c r="N463" s="3">
        <v>41885830.007275</v>
      </c>
      <c r="O463" s="6" t="s">
        <v>373</v>
      </c>
      <c r="P463" t="s">
        <v>196</v>
      </c>
      <c r="Q463" s="3">
        <v>82</v>
      </c>
      <c r="R463" s="5">
        <v>0.22777700000000001</v>
      </c>
      <c r="S463" s="6" t="s">
        <v>145</v>
      </c>
      <c r="T463" t="s">
        <v>21</v>
      </c>
    </row>
    <row r="464" spans="1:20" x14ac:dyDescent="0.25">
      <c r="A464" t="s">
        <v>32</v>
      </c>
      <c r="B464" t="s">
        <v>106</v>
      </c>
      <c r="C464" t="s">
        <v>107</v>
      </c>
      <c r="D464" t="s">
        <v>108</v>
      </c>
      <c r="E464" t="s">
        <v>1332</v>
      </c>
      <c r="F464" t="s">
        <v>19</v>
      </c>
      <c r="G464" s="2">
        <v>46125</v>
      </c>
      <c r="H464" s="2">
        <v>46224</v>
      </c>
      <c r="I464" s="3">
        <v>8891331</v>
      </c>
      <c r="J464" t="s">
        <v>20</v>
      </c>
      <c r="K464" s="1">
        <v>46142</v>
      </c>
      <c r="L464" s="3">
        <v>9076182</v>
      </c>
      <c r="M464" s="3">
        <v>8922535.931264</v>
      </c>
      <c r="N464" s="3">
        <v>8922535.931264</v>
      </c>
      <c r="O464" s="6" t="s">
        <v>373</v>
      </c>
      <c r="P464" t="s">
        <v>196</v>
      </c>
      <c r="Q464" s="3">
        <v>82</v>
      </c>
      <c r="R464" s="5">
        <v>0.22777700000000001</v>
      </c>
      <c r="S464" s="6" t="s">
        <v>145</v>
      </c>
      <c r="T464" t="s">
        <v>21</v>
      </c>
    </row>
    <row r="465" spans="1:20" x14ac:dyDescent="0.25">
      <c r="A465" t="s">
        <v>32</v>
      </c>
      <c r="B465" t="s">
        <v>106</v>
      </c>
      <c r="C465" t="s">
        <v>107</v>
      </c>
      <c r="D465" t="s">
        <v>108</v>
      </c>
      <c r="E465" t="s">
        <v>1299</v>
      </c>
      <c r="F465" t="s">
        <v>19</v>
      </c>
      <c r="G465" s="2">
        <v>46099</v>
      </c>
      <c r="H465" s="2">
        <v>46197</v>
      </c>
      <c r="I465" s="3">
        <v>12111939</v>
      </c>
      <c r="J465" t="s">
        <v>20</v>
      </c>
      <c r="K465" s="1">
        <v>46142</v>
      </c>
      <c r="L465" s="3">
        <v>12361203</v>
      </c>
      <c r="M465" s="3">
        <v>12220061.292076999</v>
      </c>
      <c r="N465" s="3">
        <v>12220061.292076999</v>
      </c>
      <c r="O465" s="6" t="s">
        <v>278</v>
      </c>
      <c r="P465" t="s">
        <v>196</v>
      </c>
      <c r="Q465" s="3">
        <v>55</v>
      </c>
      <c r="R465" s="5">
        <v>0.152777</v>
      </c>
      <c r="S465" s="6" t="s">
        <v>145</v>
      </c>
      <c r="T465" t="s">
        <v>21</v>
      </c>
    </row>
    <row r="466" spans="1:20" x14ac:dyDescent="0.25">
      <c r="A466" t="s">
        <v>32</v>
      </c>
      <c r="B466" t="s">
        <v>106</v>
      </c>
      <c r="C466" t="s">
        <v>107</v>
      </c>
      <c r="D466" t="s">
        <v>108</v>
      </c>
      <c r="E466" t="s">
        <v>1345</v>
      </c>
      <c r="F466" t="s">
        <v>19</v>
      </c>
      <c r="G466" s="2">
        <v>46128</v>
      </c>
      <c r="H466" s="2">
        <v>46227</v>
      </c>
      <c r="I466" s="3">
        <v>35268612</v>
      </c>
      <c r="J466" t="s">
        <v>20</v>
      </c>
      <c r="K466" s="1">
        <v>46142</v>
      </c>
      <c r="L466" s="3">
        <v>36001846</v>
      </c>
      <c r="M466" s="3">
        <v>35370482.880581997</v>
      </c>
      <c r="N466" s="3">
        <v>35370482.880581997</v>
      </c>
      <c r="O466" s="6" t="s">
        <v>147</v>
      </c>
      <c r="P466" t="s">
        <v>196</v>
      </c>
      <c r="Q466" s="3">
        <v>85</v>
      </c>
      <c r="R466" s="5">
        <v>0.23611099999999999</v>
      </c>
      <c r="S466" s="6" t="s">
        <v>145</v>
      </c>
      <c r="T466" t="s">
        <v>21</v>
      </c>
    </row>
    <row r="467" spans="1:20" x14ac:dyDescent="0.25">
      <c r="A467" t="s">
        <v>32</v>
      </c>
      <c r="B467" t="s">
        <v>106</v>
      </c>
      <c r="C467" t="s">
        <v>107</v>
      </c>
      <c r="D467" t="s">
        <v>108</v>
      </c>
      <c r="E467" t="s">
        <v>29</v>
      </c>
      <c r="F467" t="s">
        <v>19</v>
      </c>
      <c r="G467" s="2">
        <v>46080</v>
      </c>
      <c r="H467" s="2">
        <v>46171</v>
      </c>
      <c r="I467" s="3">
        <v>9000000</v>
      </c>
      <c r="J467" t="s">
        <v>20</v>
      </c>
      <c r="K467" s="1">
        <v>46142</v>
      </c>
      <c r="L467" s="3">
        <v>9073710</v>
      </c>
      <c r="M467" s="3">
        <v>9018785.5957219992</v>
      </c>
      <c r="N467" s="3">
        <v>9018785.5957219992</v>
      </c>
      <c r="O467" s="6" t="s">
        <v>140</v>
      </c>
      <c r="P467" t="s">
        <v>201</v>
      </c>
      <c r="Q467" s="3">
        <v>29</v>
      </c>
      <c r="R467" s="5">
        <v>8.0555000000000002E-2</v>
      </c>
      <c r="S467" s="6" t="s">
        <v>143</v>
      </c>
      <c r="T467" t="s">
        <v>21</v>
      </c>
    </row>
    <row r="468" spans="1:20" x14ac:dyDescent="0.25">
      <c r="A468" t="s">
        <v>32</v>
      </c>
      <c r="B468" t="s">
        <v>106</v>
      </c>
      <c r="C468" t="s">
        <v>107</v>
      </c>
      <c r="D468" t="s">
        <v>108</v>
      </c>
      <c r="E468" t="s">
        <v>1347</v>
      </c>
      <c r="F468" t="s">
        <v>19</v>
      </c>
      <c r="G468" s="2">
        <v>46133</v>
      </c>
      <c r="H468" s="2">
        <v>46232</v>
      </c>
      <c r="I468" s="3">
        <v>98087405</v>
      </c>
      <c r="J468" t="s">
        <v>20</v>
      </c>
      <c r="K468" s="1">
        <v>46142</v>
      </c>
      <c r="L468" s="3">
        <v>100126642</v>
      </c>
      <c r="M468" s="3">
        <v>98269351.261163995</v>
      </c>
      <c r="N468" s="3">
        <v>98269351.261163995</v>
      </c>
      <c r="O468" s="6" t="s">
        <v>153</v>
      </c>
      <c r="P468" t="s">
        <v>196</v>
      </c>
      <c r="Q468" s="3">
        <v>90</v>
      </c>
      <c r="R468" s="5">
        <v>0.25</v>
      </c>
      <c r="S468" s="6" t="s">
        <v>145</v>
      </c>
      <c r="T468" t="s">
        <v>21</v>
      </c>
    </row>
    <row r="469" spans="1:20" x14ac:dyDescent="0.25">
      <c r="A469" t="s">
        <v>32</v>
      </c>
      <c r="B469" t="s">
        <v>106</v>
      </c>
      <c r="C469" t="s">
        <v>107</v>
      </c>
      <c r="D469" t="s">
        <v>108</v>
      </c>
      <c r="E469" t="s">
        <v>43</v>
      </c>
      <c r="F469" t="s">
        <v>19</v>
      </c>
      <c r="G469" s="2">
        <v>46043</v>
      </c>
      <c r="H469" s="2">
        <v>46146</v>
      </c>
      <c r="I469" s="3">
        <v>6267123</v>
      </c>
      <c r="J469" t="s">
        <v>20</v>
      </c>
      <c r="K469" s="1">
        <v>46142</v>
      </c>
      <c r="L469" s="3">
        <v>6293445</v>
      </c>
      <c r="M469" s="3">
        <v>6288162.943128</v>
      </c>
      <c r="N469" s="3">
        <v>6288162.943128</v>
      </c>
      <c r="O469" s="6"/>
      <c r="P469" t="s">
        <v>196</v>
      </c>
      <c r="Q469" s="3">
        <v>4</v>
      </c>
      <c r="R469" s="5">
        <v>1.1110999999999999E-2</v>
      </c>
      <c r="S469" s="6" t="s">
        <v>143</v>
      </c>
      <c r="T469" t="s">
        <v>21</v>
      </c>
    </row>
    <row r="470" spans="1:20" x14ac:dyDescent="0.25">
      <c r="A470" t="s">
        <v>32</v>
      </c>
      <c r="B470" t="s">
        <v>106</v>
      </c>
      <c r="C470" t="s">
        <v>107</v>
      </c>
      <c r="D470" t="s">
        <v>108</v>
      </c>
      <c r="E470" t="s">
        <v>43</v>
      </c>
      <c r="F470" t="s">
        <v>19</v>
      </c>
      <c r="G470" s="2">
        <v>46043</v>
      </c>
      <c r="H470" s="2">
        <v>46146</v>
      </c>
      <c r="I470" s="3">
        <v>29103951</v>
      </c>
      <c r="J470" t="s">
        <v>20</v>
      </c>
      <c r="K470" s="1">
        <v>46142</v>
      </c>
      <c r="L470" s="3">
        <v>29348424</v>
      </c>
      <c r="M470" s="3">
        <v>29323792.014708001</v>
      </c>
      <c r="N470" s="3">
        <v>29323792.014708001</v>
      </c>
      <c r="O470" s="6"/>
      <c r="P470" t="s">
        <v>196</v>
      </c>
      <c r="Q470" s="3">
        <v>4</v>
      </c>
      <c r="R470" s="5">
        <v>1.1110999999999999E-2</v>
      </c>
      <c r="S470" s="6" t="s">
        <v>143</v>
      </c>
      <c r="T470" t="s">
        <v>21</v>
      </c>
    </row>
    <row r="471" spans="1:20" x14ac:dyDescent="0.25">
      <c r="A471" t="s">
        <v>32</v>
      </c>
      <c r="B471" t="s">
        <v>106</v>
      </c>
      <c r="C471" t="s">
        <v>107</v>
      </c>
      <c r="D471" t="s">
        <v>108</v>
      </c>
      <c r="E471" t="s">
        <v>44</v>
      </c>
      <c r="F471" t="s">
        <v>19</v>
      </c>
      <c r="G471" s="2">
        <v>46048</v>
      </c>
      <c r="H471" s="2">
        <v>46147</v>
      </c>
      <c r="I471" s="3">
        <v>56381068</v>
      </c>
      <c r="J471" t="s">
        <v>20</v>
      </c>
      <c r="K471" s="1">
        <v>46142</v>
      </c>
      <c r="L471" s="3">
        <v>56878349</v>
      </c>
      <c r="M471" s="3">
        <v>56818689.376154996</v>
      </c>
      <c r="N471" s="3">
        <v>56818689.376154996</v>
      </c>
      <c r="O471" s="6"/>
      <c r="P471" t="s">
        <v>196</v>
      </c>
      <c r="Q471" s="3">
        <v>5</v>
      </c>
      <c r="R471" s="5">
        <v>1.3887999999999999E-2</v>
      </c>
      <c r="S471" s="6" t="s">
        <v>143</v>
      </c>
      <c r="T471" t="s">
        <v>21</v>
      </c>
    </row>
    <row r="472" spans="1:20" x14ac:dyDescent="0.25">
      <c r="A472" t="s">
        <v>32</v>
      </c>
      <c r="B472" t="s">
        <v>106</v>
      </c>
      <c r="C472" t="s">
        <v>107</v>
      </c>
      <c r="D472" t="s">
        <v>108</v>
      </c>
      <c r="E472" t="s">
        <v>47</v>
      </c>
      <c r="F472" t="s">
        <v>19</v>
      </c>
      <c r="G472" s="2">
        <v>46052</v>
      </c>
      <c r="H472" s="2">
        <v>46155</v>
      </c>
      <c r="I472" s="3">
        <v>389524647</v>
      </c>
      <c r="J472" t="s">
        <v>20</v>
      </c>
      <c r="K472" s="1">
        <v>46142</v>
      </c>
      <c r="L472" s="3">
        <v>391896852</v>
      </c>
      <c r="M472" s="3">
        <v>390829886.41009998</v>
      </c>
      <c r="N472" s="3">
        <v>390829886.41009998</v>
      </c>
      <c r="O472" s="6" t="s">
        <v>1282</v>
      </c>
      <c r="P472" t="s">
        <v>201</v>
      </c>
      <c r="Q472" s="3">
        <v>13</v>
      </c>
      <c r="R472" s="5">
        <v>3.6110999999999997E-2</v>
      </c>
      <c r="S472" s="6" t="s">
        <v>143</v>
      </c>
      <c r="T472" t="s">
        <v>21</v>
      </c>
    </row>
    <row r="473" spans="1:20" x14ac:dyDescent="0.25">
      <c r="A473" t="s">
        <v>32</v>
      </c>
      <c r="B473" t="s">
        <v>106</v>
      </c>
      <c r="C473" t="s">
        <v>107</v>
      </c>
      <c r="D473" t="s">
        <v>108</v>
      </c>
      <c r="E473" t="s">
        <v>1356</v>
      </c>
      <c r="F473" t="s">
        <v>19</v>
      </c>
      <c r="G473" s="2">
        <v>46127</v>
      </c>
      <c r="H473" s="2">
        <v>46226</v>
      </c>
      <c r="I473" s="3">
        <v>30600564</v>
      </c>
      <c r="J473" t="s">
        <v>20</v>
      </c>
      <c r="K473" s="1">
        <v>46142</v>
      </c>
      <c r="L473" s="3">
        <v>31236750</v>
      </c>
      <c r="M473" s="3">
        <v>30695285.169608001</v>
      </c>
      <c r="N473" s="3">
        <v>30695285.169608001</v>
      </c>
      <c r="O473" s="6"/>
      <c r="P473" t="s">
        <v>196</v>
      </c>
      <c r="Q473" s="3">
        <v>84</v>
      </c>
      <c r="R473" s="5">
        <v>0.23333300000000001</v>
      </c>
      <c r="S473" s="6" t="s">
        <v>145</v>
      </c>
      <c r="T473" t="s">
        <v>21</v>
      </c>
    </row>
    <row r="474" spans="1:20" x14ac:dyDescent="0.25">
      <c r="A474" t="s">
        <v>32</v>
      </c>
      <c r="B474" t="s">
        <v>109</v>
      </c>
      <c r="C474" t="s">
        <v>110</v>
      </c>
      <c r="D474" t="s">
        <v>111</v>
      </c>
      <c r="E474" t="s">
        <v>1290</v>
      </c>
      <c r="F474" t="s">
        <v>19</v>
      </c>
      <c r="G474" s="2">
        <v>46106</v>
      </c>
      <c r="H474" s="2">
        <v>46205</v>
      </c>
      <c r="I474" s="3">
        <v>50514669</v>
      </c>
      <c r="J474" t="s">
        <v>20</v>
      </c>
      <c r="K474" s="1">
        <v>46142</v>
      </c>
      <c r="L474" s="3">
        <v>51564869</v>
      </c>
      <c r="M474" s="3">
        <v>50891573.482822001</v>
      </c>
      <c r="N474" s="3">
        <v>50891573.482822001</v>
      </c>
      <c r="O474" s="6" t="s">
        <v>321</v>
      </c>
      <c r="P474" t="s">
        <v>196</v>
      </c>
      <c r="Q474" s="3">
        <v>63</v>
      </c>
      <c r="R474" s="5">
        <v>0.17499999999999999</v>
      </c>
      <c r="S474" s="6" t="s">
        <v>145</v>
      </c>
      <c r="T474" t="s">
        <v>21</v>
      </c>
    </row>
    <row r="475" spans="1:20" x14ac:dyDescent="0.25">
      <c r="A475" t="s">
        <v>32</v>
      </c>
      <c r="B475" t="s">
        <v>109</v>
      </c>
      <c r="C475" t="s">
        <v>110</v>
      </c>
      <c r="D475" t="s">
        <v>111</v>
      </c>
      <c r="E475" t="s">
        <v>1290</v>
      </c>
      <c r="F475" t="s">
        <v>19</v>
      </c>
      <c r="G475" s="2">
        <v>46106</v>
      </c>
      <c r="H475" s="2">
        <v>46205</v>
      </c>
      <c r="I475" s="3">
        <v>12456785</v>
      </c>
      <c r="J475" t="s">
        <v>20</v>
      </c>
      <c r="K475" s="1">
        <v>46142</v>
      </c>
      <c r="L475" s="3">
        <v>12715762</v>
      </c>
      <c r="M475" s="3">
        <v>12549729.084216001</v>
      </c>
      <c r="N475" s="3">
        <v>12549729.084216001</v>
      </c>
      <c r="O475" s="6" t="s">
        <v>321</v>
      </c>
      <c r="P475" t="s">
        <v>196</v>
      </c>
      <c r="Q475" s="3">
        <v>63</v>
      </c>
      <c r="R475" s="5">
        <v>0.17499999999999999</v>
      </c>
      <c r="S475" s="6" t="s">
        <v>145</v>
      </c>
      <c r="T475" t="s">
        <v>21</v>
      </c>
    </row>
    <row r="476" spans="1:20" x14ac:dyDescent="0.25">
      <c r="A476" t="s">
        <v>32</v>
      </c>
      <c r="B476" t="s">
        <v>109</v>
      </c>
      <c r="C476" t="s">
        <v>110</v>
      </c>
      <c r="D476" t="s">
        <v>111</v>
      </c>
      <c r="E476" t="s">
        <v>70</v>
      </c>
      <c r="F476" t="s">
        <v>19</v>
      </c>
      <c r="G476" s="2">
        <v>46079</v>
      </c>
      <c r="H476" s="2">
        <v>46176</v>
      </c>
      <c r="I476" s="3">
        <v>5689430</v>
      </c>
      <c r="J476" t="s">
        <v>20</v>
      </c>
      <c r="K476" s="1">
        <v>46142</v>
      </c>
      <c r="L476" s="3">
        <v>5795443</v>
      </c>
      <c r="M476" s="3">
        <v>5753062.1091290005</v>
      </c>
      <c r="N476" s="3">
        <v>5753062.1091290005</v>
      </c>
      <c r="O476" s="6" t="s">
        <v>452</v>
      </c>
      <c r="P476" t="s">
        <v>196</v>
      </c>
      <c r="Q476" s="3">
        <v>34</v>
      </c>
      <c r="R476" s="5">
        <v>9.4444E-2</v>
      </c>
      <c r="S476" s="6" t="s">
        <v>145</v>
      </c>
      <c r="T476" t="s">
        <v>21</v>
      </c>
    </row>
    <row r="477" spans="1:20" x14ac:dyDescent="0.25">
      <c r="A477" t="s">
        <v>32</v>
      </c>
      <c r="B477" t="s">
        <v>109</v>
      </c>
      <c r="C477" t="s">
        <v>110</v>
      </c>
      <c r="D477" t="s">
        <v>111</v>
      </c>
      <c r="E477" t="s">
        <v>1330</v>
      </c>
      <c r="F477" t="s">
        <v>19</v>
      </c>
      <c r="G477" s="2">
        <v>46136</v>
      </c>
      <c r="H477" s="2">
        <v>46237</v>
      </c>
      <c r="I477" s="3">
        <v>12801490</v>
      </c>
      <c r="J477" t="s">
        <v>20</v>
      </c>
      <c r="K477" s="1">
        <v>46142</v>
      </c>
      <c r="L477" s="3">
        <v>13073010</v>
      </c>
      <c r="M477" s="3">
        <v>12817304.769842001</v>
      </c>
      <c r="N477" s="3">
        <v>12817304.769842001</v>
      </c>
      <c r="O477" s="6" t="s">
        <v>521</v>
      </c>
      <c r="P477" t="s">
        <v>196</v>
      </c>
      <c r="Q477" s="3">
        <v>95</v>
      </c>
      <c r="R477" s="5">
        <v>0.26388800000000001</v>
      </c>
      <c r="S477" s="6" t="s">
        <v>141</v>
      </c>
      <c r="T477" t="s">
        <v>21</v>
      </c>
    </row>
    <row r="478" spans="1:20" x14ac:dyDescent="0.25">
      <c r="A478" t="s">
        <v>32</v>
      </c>
      <c r="B478" t="s">
        <v>109</v>
      </c>
      <c r="C478" t="s">
        <v>110</v>
      </c>
      <c r="D478" t="s">
        <v>111</v>
      </c>
      <c r="E478" t="s">
        <v>1292</v>
      </c>
      <c r="F478" t="s">
        <v>19</v>
      </c>
      <c r="G478" s="2">
        <v>46083</v>
      </c>
      <c r="H478" s="2">
        <v>46178</v>
      </c>
      <c r="I478" s="3">
        <v>45648109</v>
      </c>
      <c r="J478" t="s">
        <v>20</v>
      </c>
      <c r="K478" s="1">
        <v>46142</v>
      </c>
      <c r="L478" s="3">
        <v>46518466</v>
      </c>
      <c r="M478" s="3">
        <v>46158430.244096003</v>
      </c>
      <c r="N478" s="3">
        <v>46158430.244096003</v>
      </c>
      <c r="O478" s="6" t="s">
        <v>283</v>
      </c>
      <c r="P478" t="s">
        <v>196</v>
      </c>
      <c r="Q478" s="3">
        <v>36</v>
      </c>
      <c r="R478" s="5">
        <v>0.1</v>
      </c>
      <c r="S478" s="6" t="s">
        <v>145</v>
      </c>
      <c r="T478" t="s">
        <v>21</v>
      </c>
    </row>
    <row r="479" spans="1:20" x14ac:dyDescent="0.25">
      <c r="A479" t="s">
        <v>32</v>
      </c>
      <c r="B479" t="s">
        <v>109</v>
      </c>
      <c r="C479" t="s">
        <v>110</v>
      </c>
      <c r="D479" t="s">
        <v>111</v>
      </c>
      <c r="E479" t="s">
        <v>1292</v>
      </c>
      <c r="F479" t="s">
        <v>19</v>
      </c>
      <c r="G479" s="2">
        <v>46083</v>
      </c>
      <c r="H479" s="2">
        <v>46178</v>
      </c>
      <c r="I479" s="3">
        <v>51270334</v>
      </c>
      <c r="J479" t="s">
        <v>20</v>
      </c>
      <c r="K479" s="1">
        <v>46142</v>
      </c>
      <c r="L479" s="3">
        <v>52247888</v>
      </c>
      <c r="M479" s="3">
        <v>51843508.632665001</v>
      </c>
      <c r="N479" s="3">
        <v>51843508.632665001</v>
      </c>
      <c r="O479" s="6" t="s">
        <v>283</v>
      </c>
      <c r="P479" t="s">
        <v>196</v>
      </c>
      <c r="Q479" s="3">
        <v>36</v>
      </c>
      <c r="R479" s="5">
        <v>0.1</v>
      </c>
      <c r="S479" s="6" t="s">
        <v>145</v>
      </c>
      <c r="T479" t="s">
        <v>21</v>
      </c>
    </row>
    <row r="480" spans="1:20" x14ac:dyDescent="0.25">
      <c r="A480" t="s">
        <v>32</v>
      </c>
      <c r="B480" t="s">
        <v>109</v>
      </c>
      <c r="C480" t="s">
        <v>110</v>
      </c>
      <c r="D480" t="s">
        <v>111</v>
      </c>
      <c r="E480" t="s">
        <v>1292</v>
      </c>
      <c r="F480" t="s">
        <v>19</v>
      </c>
      <c r="G480" s="2">
        <v>46083</v>
      </c>
      <c r="H480" s="2">
        <v>46178</v>
      </c>
      <c r="I480" s="3">
        <v>3280272</v>
      </c>
      <c r="J480" t="s">
        <v>20</v>
      </c>
      <c r="K480" s="1">
        <v>46142</v>
      </c>
      <c r="L480" s="3">
        <v>3342816</v>
      </c>
      <c r="M480" s="3">
        <v>3316943.8380629998</v>
      </c>
      <c r="N480" s="3">
        <v>3316943.8380629998</v>
      </c>
      <c r="O480" s="6" t="s">
        <v>283</v>
      </c>
      <c r="P480" t="s">
        <v>196</v>
      </c>
      <c r="Q480" s="3">
        <v>36</v>
      </c>
      <c r="R480" s="5">
        <v>0.1</v>
      </c>
      <c r="S480" s="6" t="s">
        <v>145</v>
      </c>
      <c r="T480" t="s">
        <v>21</v>
      </c>
    </row>
    <row r="481" spans="1:20" x14ac:dyDescent="0.25">
      <c r="A481" t="s">
        <v>32</v>
      </c>
      <c r="B481" t="s">
        <v>109</v>
      </c>
      <c r="C481" t="s">
        <v>110</v>
      </c>
      <c r="D481" t="s">
        <v>111</v>
      </c>
      <c r="E481" t="s">
        <v>1292</v>
      </c>
      <c r="F481" t="s">
        <v>19</v>
      </c>
      <c r="G481" s="2">
        <v>46083</v>
      </c>
      <c r="H481" s="2">
        <v>46178</v>
      </c>
      <c r="I481" s="3">
        <v>61860278</v>
      </c>
      <c r="J481" t="s">
        <v>20</v>
      </c>
      <c r="K481" s="1">
        <v>46142</v>
      </c>
      <c r="L481" s="3">
        <v>63039747</v>
      </c>
      <c r="M481" s="3">
        <v>62551842.627504997</v>
      </c>
      <c r="N481" s="3">
        <v>62551842.627504997</v>
      </c>
      <c r="O481" s="6" t="s">
        <v>283</v>
      </c>
      <c r="P481" t="s">
        <v>196</v>
      </c>
      <c r="Q481" s="3">
        <v>36</v>
      </c>
      <c r="R481" s="5">
        <v>0.1</v>
      </c>
      <c r="S481" s="6" t="s">
        <v>145</v>
      </c>
      <c r="T481" t="s">
        <v>21</v>
      </c>
    </row>
    <row r="482" spans="1:20" x14ac:dyDescent="0.25">
      <c r="A482" t="s">
        <v>32</v>
      </c>
      <c r="B482" t="s">
        <v>109</v>
      </c>
      <c r="C482" t="s">
        <v>110</v>
      </c>
      <c r="D482" t="s">
        <v>111</v>
      </c>
      <c r="E482" t="s">
        <v>1338</v>
      </c>
      <c r="F482" t="s">
        <v>19</v>
      </c>
      <c r="G482" s="2">
        <v>46140</v>
      </c>
      <c r="H482" s="2">
        <v>46240</v>
      </c>
      <c r="I482" s="3">
        <v>31018274</v>
      </c>
      <c r="J482" t="s">
        <v>20</v>
      </c>
      <c r="K482" s="1">
        <v>46142</v>
      </c>
      <c r="L482" s="3">
        <v>31669658</v>
      </c>
      <c r="M482" s="3">
        <v>31031039.212997001</v>
      </c>
      <c r="N482" s="3">
        <v>31031039.212997001</v>
      </c>
      <c r="O482" s="6" t="s">
        <v>1271</v>
      </c>
      <c r="P482" t="s">
        <v>196</v>
      </c>
      <c r="Q482" s="3">
        <v>98</v>
      </c>
      <c r="R482" s="5">
        <v>0.27222200000000002</v>
      </c>
      <c r="S482" s="6" t="s">
        <v>141</v>
      </c>
      <c r="T482" t="s">
        <v>21</v>
      </c>
    </row>
    <row r="483" spans="1:20" x14ac:dyDescent="0.25">
      <c r="A483" t="s">
        <v>32</v>
      </c>
      <c r="B483" t="s">
        <v>109</v>
      </c>
      <c r="C483" t="s">
        <v>110</v>
      </c>
      <c r="D483" t="s">
        <v>111</v>
      </c>
      <c r="E483" t="s">
        <v>23</v>
      </c>
      <c r="F483" t="s">
        <v>19</v>
      </c>
      <c r="G483" s="2">
        <v>46049</v>
      </c>
      <c r="H483" s="2">
        <v>46149</v>
      </c>
      <c r="I483" s="3">
        <v>9089346</v>
      </c>
      <c r="J483" t="s">
        <v>20</v>
      </c>
      <c r="K483" s="1">
        <v>46142</v>
      </c>
      <c r="L483" s="3">
        <v>9205538</v>
      </c>
      <c r="M483" s="3">
        <v>9191597.4105939995</v>
      </c>
      <c r="N483" s="3">
        <v>9191597.4105939995</v>
      </c>
      <c r="O483" s="6" t="s">
        <v>521</v>
      </c>
      <c r="P483" t="s">
        <v>196</v>
      </c>
      <c r="Q483" s="3">
        <v>7</v>
      </c>
      <c r="R483" s="5">
        <v>1.9443999999999999E-2</v>
      </c>
      <c r="S483" s="6" t="s">
        <v>143</v>
      </c>
      <c r="T483" t="s">
        <v>21</v>
      </c>
    </row>
    <row r="484" spans="1:20" x14ac:dyDescent="0.25">
      <c r="A484" t="s">
        <v>32</v>
      </c>
      <c r="B484" t="s">
        <v>109</v>
      </c>
      <c r="C484" t="s">
        <v>110</v>
      </c>
      <c r="D484" t="s">
        <v>111</v>
      </c>
      <c r="E484" t="s">
        <v>61</v>
      </c>
      <c r="F484" t="s">
        <v>19</v>
      </c>
      <c r="G484" s="2">
        <v>46049</v>
      </c>
      <c r="H484" s="2">
        <v>46150</v>
      </c>
      <c r="I484" s="3">
        <v>59130937</v>
      </c>
      <c r="J484" t="s">
        <v>20</v>
      </c>
      <c r="K484" s="1">
        <v>46142</v>
      </c>
      <c r="L484" s="3">
        <v>59899639</v>
      </c>
      <c r="M484" s="3">
        <v>59795992.612804003</v>
      </c>
      <c r="N484" s="3">
        <v>59795992.612804003</v>
      </c>
      <c r="O484" s="6" t="s">
        <v>521</v>
      </c>
      <c r="P484" t="s">
        <v>196</v>
      </c>
      <c r="Q484" s="3">
        <v>8</v>
      </c>
      <c r="R484" s="5">
        <v>2.2221999999999999E-2</v>
      </c>
      <c r="S484" s="6" t="s">
        <v>143</v>
      </c>
      <c r="T484" t="s">
        <v>21</v>
      </c>
    </row>
    <row r="485" spans="1:20" x14ac:dyDescent="0.25">
      <c r="A485" t="s">
        <v>32</v>
      </c>
      <c r="B485" t="s">
        <v>109</v>
      </c>
      <c r="C485" t="s">
        <v>110</v>
      </c>
      <c r="D485" t="s">
        <v>111</v>
      </c>
      <c r="E485" t="s">
        <v>61</v>
      </c>
      <c r="F485" t="s">
        <v>19</v>
      </c>
      <c r="G485" s="2">
        <v>46049</v>
      </c>
      <c r="H485" s="2">
        <v>46150</v>
      </c>
      <c r="I485" s="3">
        <v>68742543</v>
      </c>
      <c r="J485" t="s">
        <v>20</v>
      </c>
      <c r="K485" s="1">
        <v>46142</v>
      </c>
      <c r="L485" s="3">
        <v>69636196</v>
      </c>
      <c r="M485" s="3">
        <v>69515702.116331995</v>
      </c>
      <c r="N485" s="3">
        <v>69515702.116331995</v>
      </c>
      <c r="O485" s="6" t="s">
        <v>521</v>
      </c>
      <c r="P485" t="s">
        <v>196</v>
      </c>
      <c r="Q485" s="3">
        <v>8</v>
      </c>
      <c r="R485" s="5">
        <v>2.2221999999999999E-2</v>
      </c>
      <c r="S485" s="6" t="s">
        <v>143</v>
      </c>
      <c r="T485" t="s">
        <v>21</v>
      </c>
    </row>
    <row r="486" spans="1:20" x14ac:dyDescent="0.25">
      <c r="A486" t="s">
        <v>32</v>
      </c>
      <c r="B486" t="s">
        <v>109</v>
      </c>
      <c r="C486" t="s">
        <v>110</v>
      </c>
      <c r="D486" t="s">
        <v>111</v>
      </c>
      <c r="E486" t="s">
        <v>1295</v>
      </c>
      <c r="F486" t="s">
        <v>19</v>
      </c>
      <c r="G486" s="2">
        <v>46085</v>
      </c>
      <c r="H486" s="2">
        <v>46181</v>
      </c>
      <c r="I486" s="3">
        <v>20568055</v>
      </c>
      <c r="J486" t="s">
        <v>20</v>
      </c>
      <c r="K486" s="1">
        <v>46142</v>
      </c>
      <c r="L486" s="3">
        <v>20995871</v>
      </c>
      <c r="M486" s="3">
        <v>20819942.485993002</v>
      </c>
      <c r="N486" s="3">
        <v>20819942.485993002</v>
      </c>
      <c r="O486" s="6" t="s">
        <v>278</v>
      </c>
      <c r="P486" t="s">
        <v>196</v>
      </c>
      <c r="Q486" s="3">
        <v>39</v>
      </c>
      <c r="R486" s="5">
        <v>0.108333</v>
      </c>
      <c r="S486" s="6" t="s">
        <v>145</v>
      </c>
      <c r="T486" t="s">
        <v>21</v>
      </c>
    </row>
    <row r="487" spans="1:20" x14ac:dyDescent="0.25">
      <c r="A487" t="s">
        <v>32</v>
      </c>
      <c r="B487" t="s">
        <v>109</v>
      </c>
      <c r="C487" t="s">
        <v>110</v>
      </c>
      <c r="D487" t="s">
        <v>111</v>
      </c>
      <c r="E487" t="s">
        <v>1295</v>
      </c>
      <c r="F487" t="s">
        <v>19</v>
      </c>
      <c r="G487" s="2">
        <v>46085</v>
      </c>
      <c r="H487" s="2">
        <v>46181</v>
      </c>
      <c r="I487" s="3">
        <v>55148298</v>
      </c>
      <c r="J487" t="s">
        <v>20</v>
      </c>
      <c r="K487" s="1">
        <v>46142</v>
      </c>
      <c r="L487" s="3">
        <v>56295383</v>
      </c>
      <c r="M487" s="3">
        <v>55823672.963459</v>
      </c>
      <c r="N487" s="3">
        <v>55823672.963459</v>
      </c>
      <c r="O487" s="6" t="s">
        <v>278</v>
      </c>
      <c r="P487" t="s">
        <v>196</v>
      </c>
      <c r="Q487" s="3">
        <v>39</v>
      </c>
      <c r="R487" s="5">
        <v>0.108333</v>
      </c>
      <c r="S487" s="6" t="s">
        <v>145</v>
      </c>
      <c r="T487" t="s">
        <v>21</v>
      </c>
    </row>
    <row r="488" spans="1:20" x14ac:dyDescent="0.25">
      <c r="A488" t="s">
        <v>32</v>
      </c>
      <c r="B488" t="s">
        <v>109</v>
      </c>
      <c r="C488" t="s">
        <v>110</v>
      </c>
      <c r="D488" t="s">
        <v>111</v>
      </c>
      <c r="E488" t="s">
        <v>37</v>
      </c>
      <c r="F488" t="s">
        <v>19</v>
      </c>
      <c r="G488" s="2">
        <v>46050</v>
      </c>
      <c r="H488" s="2">
        <v>46153</v>
      </c>
      <c r="I488" s="3">
        <v>13244047</v>
      </c>
      <c r="J488" t="s">
        <v>20</v>
      </c>
      <c r="K488" s="1">
        <v>46142</v>
      </c>
      <c r="L488" s="3">
        <v>13424828</v>
      </c>
      <c r="M488" s="3">
        <v>13392908.235371999</v>
      </c>
      <c r="N488" s="3">
        <v>13392908.235371999</v>
      </c>
      <c r="O488" s="6" t="s">
        <v>153</v>
      </c>
      <c r="P488" t="s">
        <v>196</v>
      </c>
      <c r="Q488" s="3">
        <v>11</v>
      </c>
      <c r="R488" s="5">
        <v>3.0554999999999999E-2</v>
      </c>
      <c r="S488" s="6" t="s">
        <v>143</v>
      </c>
      <c r="T488" t="s">
        <v>21</v>
      </c>
    </row>
    <row r="489" spans="1:20" x14ac:dyDescent="0.25">
      <c r="A489" t="s">
        <v>32</v>
      </c>
      <c r="B489" t="s">
        <v>109</v>
      </c>
      <c r="C489" t="s">
        <v>110</v>
      </c>
      <c r="D489" t="s">
        <v>111</v>
      </c>
      <c r="E489" t="s">
        <v>1339</v>
      </c>
      <c r="F489" t="s">
        <v>19</v>
      </c>
      <c r="G489" s="2">
        <v>46141</v>
      </c>
      <c r="H489" s="2">
        <v>46245</v>
      </c>
      <c r="I489" s="3">
        <v>36947224</v>
      </c>
      <c r="J489" t="s">
        <v>20</v>
      </c>
      <c r="K489" s="1">
        <v>46142</v>
      </c>
      <c r="L489" s="3">
        <v>37754151</v>
      </c>
      <c r="M489" s="3">
        <v>36954818.280591004</v>
      </c>
      <c r="N489" s="3">
        <v>36954818.280591004</v>
      </c>
      <c r="O489" s="6" t="s">
        <v>1271</v>
      </c>
      <c r="P489" t="s">
        <v>196</v>
      </c>
      <c r="Q489" s="3">
        <v>103</v>
      </c>
      <c r="R489" s="5">
        <v>0.286111</v>
      </c>
      <c r="S489" s="6" t="s">
        <v>141</v>
      </c>
      <c r="T489" t="s">
        <v>21</v>
      </c>
    </row>
    <row r="490" spans="1:20" x14ac:dyDescent="0.25">
      <c r="A490" t="s">
        <v>32</v>
      </c>
      <c r="B490" t="s">
        <v>109</v>
      </c>
      <c r="C490" t="s">
        <v>110</v>
      </c>
      <c r="D490" t="s">
        <v>111</v>
      </c>
      <c r="E490" t="s">
        <v>1339</v>
      </c>
      <c r="F490" t="s">
        <v>19</v>
      </c>
      <c r="G490" s="2">
        <v>46141</v>
      </c>
      <c r="H490" s="2">
        <v>46245</v>
      </c>
      <c r="I490" s="3">
        <v>41407539</v>
      </c>
      <c r="J490" t="s">
        <v>20</v>
      </c>
      <c r="K490" s="1">
        <v>46142</v>
      </c>
      <c r="L490" s="3">
        <v>42311880</v>
      </c>
      <c r="M490" s="3">
        <v>41416050.820747003</v>
      </c>
      <c r="N490" s="3">
        <v>41416050.820747003</v>
      </c>
      <c r="O490" s="6" t="s">
        <v>1271</v>
      </c>
      <c r="P490" t="s">
        <v>196</v>
      </c>
      <c r="Q490" s="3">
        <v>103</v>
      </c>
      <c r="R490" s="5">
        <v>0.286111</v>
      </c>
      <c r="S490" s="6" t="s">
        <v>141</v>
      </c>
      <c r="T490" t="s">
        <v>21</v>
      </c>
    </row>
    <row r="491" spans="1:20" x14ac:dyDescent="0.25">
      <c r="A491" t="s">
        <v>32</v>
      </c>
      <c r="B491" t="s">
        <v>109</v>
      </c>
      <c r="C491" t="s">
        <v>110</v>
      </c>
      <c r="D491" t="s">
        <v>111</v>
      </c>
      <c r="E491" t="s">
        <v>38</v>
      </c>
      <c r="F491" t="s">
        <v>19</v>
      </c>
      <c r="G491" s="2">
        <v>46050</v>
      </c>
      <c r="H491" s="2">
        <v>46154</v>
      </c>
      <c r="I491" s="3">
        <v>42487191</v>
      </c>
      <c r="J491" t="s">
        <v>20</v>
      </c>
      <c r="K491" s="1">
        <v>46142</v>
      </c>
      <c r="L491" s="3">
        <v>43076347</v>
      </c>
      <c r="M491" s="3">
        <v>42964638.938758999</v>
      </c>
      <c r="N491" s="3">
        <v>42964638.938758999</v>
      </c>
      <c r="O491" s="6" t="s">
        <v>147</v>
      </c>
      <c r="P491" t="s">
        <v>196</v>
      </c>
      <c r="Q491" s="3">
        <v>12</v>
      </c>
      <c r="R491" s="5">
        <v>3.3333000000000002E-2</v>
      </c>
      <c r="S491" s="6" t="s">
        <v>143</v>
      </c>
      <c r="T491" t="s">
        <v>21</v>
      </c>
    </row>
    <row r="492" spans="1:20" x14ac:dyDescent="0.25">
      <c r="A492" t="s">
        <v>32</v>
      </c>
      <c r="B492" t="s">
        <v>109</v>
      </c>
      <c r="C492" t="s">
        <v>110</v>
      </c>
      <c r="D492" t="s">
        <v>111</v>
      </c>
      <c r="E492" t="s">
        <v>24</v>
      </c>
      <c r="F492" t="s">
        <v>19</v>
      </c>
      <c r="G492" s="2">
        <v>46051</v>
      </c>
      <c r="H492" s="2">
        <v>46155</v>
      </c>
      <c r="I492" s="3">
        <v>4841185</v>
      </c>
      <c r="J492" t="s">
        <v>20</v>
      </c>
      <c r="K492" s="1">
        <v>46142</v>
      </c>
      <c r="L492" s="3">
        <v>4909365</v>
      </c>
      <c r="M492" s="3">
        <v>4895575.7948449999</v>
      </c>
      <c r="N492" s="3">
        <v>4895575.7948449999</v>
      </c>
      <c r="O492" s="6" t="s">
        <v>452</v>
      </c>
      <c r="P492" t="s">
        <v>196</v>
      </c>
      <c r="Q492" s="3">
        <v>13</v>
      </c>
      <c r="R492" s="5">
        <v>3.6110999999999997E-2</v>
      </c>
      <c r="S492" s="6" t="s">
        <v>143</v>
      </c>
      <c r="T492" t="s">
        <v>21</v>
      </c>
    </row>
    <row r="493" spans="1:20" x14ac:dyDescent="0.25">
      <c r="A493" t="s">
        <v>32</v>
      </c>
      <c r="B493" t="s">
        <v>109</v>
      </c>
      <c r="C493" t="s">
        <v>110</v>
      </c>
      <c r="D493" t="s">
        <v>111</v>
      </c>
      <c r="E493" t="s">
        <v>24</v>
      </c>
      <c r="F493" t="s">
        <v>19</v>
      </c>
      <c r="G493" s="2">
        <v>46051</v>
      </c>
      <c r="H493" s="2">
        <v>46155</v>
      </c>
      <c r="I493" s="3">
        <v>9018977</v>
      </c>
      <c r="J493" t="s">
        <v>20</v>
      </c>
      <c r="K493" s="1">
        <v>46142</v>
      </c>
      <c r="L493" s="3">
        <v>9145994</v>
      </c>
      <c r="M493" s="3">
        <v>9120305.1405209992</v>
      </c>
      <c r="N493" s="3">
        <v>9120305.1405209992</v>
      </c>
      <c r="O493" s="6" t="s">
        <v>452</v>
      </c>
      <c r="P493" t="s">
        <v>196</v>
      </c>
      <c r="Q493" s="3">
        <v>13</v>
      </c>
      <c r="R493" s="5">
        <v>3.6110999999999997E-2</v>
      </c>
      <c r="S493" s="6" t="s">
        <v>143</v>
      </c>
      <c r="T493" t="s">
        <v>21</v>
      </c>
    </row>
    <row r="494" spans="1:20" x14ac:dyDescent="0.25">
      <c r="A494" t="s">
        <v>32</v>
      </c>
      <c r="B494" t="s">
        <v>109</v>
      </c>
      <c r="C494" t="s">
        <v>110</v>
      </c>
      <c r="D494" t="s">
        <v>111</v>
      </c>
      <c r="E494" t="s">
        <v>24</v>
      </c>
      <c r="F494" t="s">
        <v>19</v>
      </c>
      <c r="G494" s="2">
        <v>46051</v>
      </c>
      <c r="H494" s="2">
        <v>46155</v>
      </c>
      <c r="I494" s="3">
        <v>9229302</v>
      </c>
      <c r="J494" t="s">
        <v>20</v>
      </c>
      <c r="K494" s="1">
        <v>46142</v>
      </c>
      <c r="L494" s="3">
        <v>9268065</v>
      </c>
      <c r="M494" s="3">
        <v>9242832.0684530009</v>
      </c>
      <c r="N494" s="3">
        <v>9242832.0684530009</v>
      </c>
      <c r="O494" s="6" t="s">
        <v>452</v>
      </c>
      <c r="P494" t="s">
        <v>196</v>
      </c>
      <c r="Q494" s="3">
        <v>13</v>
      </c>
      <c r="R494" s="5">
        <v>3.6110999999999997E-2</v>
      </c>
      <c r="S494" s="6" t="s">
        <v>143</v>
      </c>
      <c r="T494" t="s">
        <v>21</v>
      </c>
    </row>
    <row r="495" spans="1:20" x14ac:dyDescent="0.25">
      <c r="A495" t="s">
        <v>32</v>
      </c>
      <c r="B495" t="s">
        <v>109</v>
      </c>
      <c r="C495" t="s">
        <v>110</v>
      </c>
      <c r="D495" t="s">
        <v>111</v>
      </c>
      <c r="E495" t="s">
        <v>1340</v>
      </c>
      <c r="F495" t="s">
        <v>19</v>
      </c>
      <c r="G495" s="2">
        <v>46118</v>
      </c>
      <c r="H495" s="2">
        <v>46216</v>
      </c>
      <c r="I495" s="3">
        <v>31960593</v>
      </c>
      <c r="J495" t="s">
        <v>20</v>
      </c>
      <c r="K495" s="1">
        <v>46142</v>
      </c>
      <c r="L495" s="3">
        <v>32618342</v>
      </c>
      <c r="M495" s="3">
        <v>32119209.484609</v>
      </c>
      <c r="N495" s="3">
        <v>32119209.484609</v>
      </c>
      <c r="O495" s="6" t="s">
        <v>144</v>
      </c>
      <c r="P495" t="s">
        <v>196</v>
      </c>
      <c r="Q495" s="3">
        <v>74</v>
      </c>
      <c r="R495" s="5">
        <v>0.20555499999999999</v>
      </c>
      <c r="S495" s="6" t="s">
        <v>145</v>
      </c>
      <c r="T495" t="s">
        <v>21</v>
      </c>
    </row>
    <row r="496" spans="1:20" x14ac:dyDescent="0.25">
      <c r="A496" t="s">
        <v>32</v>
      </c>
      <c r="B496" t="s">
        <v>109</v>
      </c>
      <c r="C496" t="s">
        <v>110</v>
      </c>
      <c r="D496" t="s">
        <v>111</v>
      </c>
      <c r="E496" t="s">
        <v>25</v>
      </c>
      <c r="F496" t="s">
        <v>19</v>
      </c>
      <c r="G496" s="2">
        <v>46051</v>
      </c>
      <c r="H496" s="2">
        <v>46156</v>
      </c>
      <c r="I496" s="3">
        <v>11494388</v>
      </c>
      <c r="J496" t="s">
        <v>20</v>
      </c>
      <c r="K496" s="1">
        <v>46142</v>
      </c>
      <c r="L496" s="3">
        <v>11658758</v>
      </c>
      <c r="M496" s="3">
        <v>11623500.049849</v>
      </c>
      <c r="N496" s="3">
        <v>11623500.049849</v>
      </c>
      <c r="O496" s="6" t="s">
        <v>452</v>
      </c>
      <c r="P496" t="s">
        <v>196</v>
      </c>
      <c r="Q496" s="3">
        <v>14</v>
      </c>
      <c r="R496" s="5">
        <v>3.8887999999999999E-2</v>
      </c>
      <c r="S496" s="6" t="s">
        <v>143</v>
      </c>
      <c r="T496" t="s">
        <v>21</v>
      </c>
    </row>
    <row r="497" spans="1:20" x14ac:dyDescent="0.25">
      <c r="A497" t="s">
        <v>32</v>
      </c>
      <c r="B497" t="s">
        <v>109</v>
      </c>
      <c r="C497" t="s">
        <v>110</v>
      </c>
      <c r="D497" t="s">
        <v>111</v>
      </c>
      <c r="E497" t="s">
        <v>1363</v>
      </c>
      <c r="F497" t="s">
        <v>19</v>
      </c>
      <c r="G497" s="2">
        <v>46119</v>
      </c>
      <c r="H497" s="2">
        <v>46217</v>
      </c>
      <c r="I497" s="3">
        <v>5497177</v>
      </c>
      <c r="J497" t="s">
        <v>20</v>
      </c>
      <c r="K497" s="1">
        <v>46142</v>
      </c>
      <c r="L497" s="3">
        <v>5610309</v>
      </c>
      <c r="M497" s="3">
        <v>5523316.7610139996</v>
      </c>
      <c r="N497" s="3">
        <v>5523316.7610139996</v>
      </c>
      <c r="O497" s="6" t="s">
        <v>140</v>
      </c>
      <c r="P497" t="s">
        <v>201</v>
      </c>
      <c r="Q497" s="3">
        <v>75</v>
      </c>
      <c r="R497" s="5">
        <v>0.20833299999999999</v>
      </c>
      <c r="S497" s="6" t="s">
        <v>145</v>
      </c>
      <c r="T497" t="s">
        <v>21</v>
      </c>
    </row>
    <row r="498" spans="1:20" x14ac:dyDescent="0.25">
      <c r="A498" t="s">
        <v>32</v>
      </c>
      <c r="B498" t="s">
        <v>109</v>
      </c>
      <c r="C498" t="s">
        <v>110</v>
      </c>
      <c r="D498" t="s">
        <v>111</v>
      </c>
      <c r="E498" t="s">
        <v>1363</v>
      </c>
      <c r="F498" t="s">
        <v>19</v>
      </c>
      <c r="G498" s="2">
        <v>46119</v>
      </c>
      <c r="H498" s="2">
        <v>46217</v>
      </c>
      <c r="I498" s="3">
        <v>11009041</v>
      </c>
      <c r="J498" t="s">
        <v>20</v>
      </c>
      <c r="K498" s="1">
        <v>46142</v>
      </c>
      <c r="L498" s="3">
        <v>11235607</v>
      </c>
      <c r="M498" s="3">
        <v>11061390.105833</v>
      </c>
      <c r="N498" s="3">
        <v>11061390.105833</v>
      </c>
      <c r="O498" s="6" t="s">
        <v>140</v>
      </c>
      <c r="P498" t="s">
        <v>201</v>
      </c>
      <c r="Q498" s="3">
        <v>75</v>
      </c>
      <c r="R498" s="5">
        <v>0.20833299999999999</v>
      </c>
      <c r="S498" s="6" t="s">
        <v>145</v>
      </c>
      <c r="T498" t="s">
        <v>21</v>
      </c>
    </row>
    <row r="499" spans="1:20" x14ac:dyDescent="0.25">
      <c r="A499" t="s">
        <v>32</v>
      </c>
      <c r="B499" t="s">
        <v>109</v>
      </c>
      <c r="C499" t="s">
        <v>110</v>
      </c>
      <c r="D499" t="s">
        <v>111</v>
      </c>
      <c r="E499" t="s">
        <v>1363</v>
      </c>
      <c r="F499" t="s">
        <v>19</v>
      </c>
      <c r="G499" s="2">
        <v>46119</v>
      </c>
      <c r="H499" s="2">
        <v>46217</v>
      </c>
      <c r="I499" s="3">
        <v>46639922</v>
      </c>
      <c r="J499" t="s">
        <v>20</v>
      </c>
      <c r="K499" s="1">
        <v>46142</v>
      </c>
      <c r="L499" s="3">
        <v>47599772</v>
      </c>
      <c r="M499" s="3">
        <v>46861700.221510999</v>
      </c>
      <c r="N499" s="3">
        <v>46861700.221510999</v>
      </c>
      <c r="O499" s="6" t="s">
        <v>140</v>
      </c>
      <c r="P499" t="s">
        <v>201</v>
      </c>
      <c r="Q499" s="3">
        <v>75</v>
      </c>
      <c r="R499" s="5">
        <v>0.20833299999999999</v>
      </c>
      <c r="S499" s="6" t="s">
        <v>145</v>
      </c>
      <c r="T499" t="s">
        <v>21</v>
      </c>
    </row>
    <row r="500" spans="1:20" x14ac:dyDescent="0.25">
      <c r="A500" t="s">
        <v>32</v>
      </c>
      <c r="B500" t="s">
        <v>109</v>
      </c>
      <c r="C500" t="s">
        <v>110</v>
      </c>
      <c r="D500" t="s">
        <v>111</v>
      </c>
      <c r="E500" t="s">
        <v>26</v>
      </c>
      <c r="F500" t="s">
        <v>19</v>
      </c>
      <c r="G500" s="2">
        <v>46052</v>
      </c>
      <c r="H500" s="2">
        <v>46157</v>
      </c>
      <c r="I500" s="3">
        <v>18157411</v>
      </c>
      <c r="J500" t="s">
        <v>20</v>
      </c>
      <c r="K500" s="1">
        <v>46142</v>
      </c>
      <c r="L500" s="3">
        <v>18420996</v>
      </c>
      <c r="M500" s="3">
        <v>18361321.704461001</v>
      </c>
      <c r="N500" s="3">
        <v>18361321.704461001</v>
      </c>
      <c r="O500" s="6" t="s">
        <v>521</v>
      </c>
      <c r="P500" t="s">
        <v>196</v>
      </c>
      <c r="Q500" s="3">
        <v>15</v>
      </c>
      <c r="R500" s="5">
        <v>4.1666000000000002E-2</v>
      </c>
      <c r="S500" s="6" t="s">
        <v>143</v>
      </c>
      <c r="T500" t="s">
        <v>21</v>
      </c>
    </row>
    <row r="501" spans="1:20" x14ac:dyDescent="0.25">
      <c r="A501" t="s">
        <v>32</v>
      </c>
      <c r="B501" t="s">
        <v>109</v>
      </c>
      <c r="C501" t="s">
        <v>110</v>
      </c>
      <c r="D501" t="s">
        <v>111</v>
      </c>
      <c r="E501" t="s">
        <v>1296</v>
      </c>
      <c r="F501" t="s">
        <v>19</v>
      </c>
      <c r="G501" s="2">
        <v>46092</v>
      </c>
      <c r="H501" s="2">
        <v>46190</v>
      </c>
      <c r="I501" s="3">
        <v>4766210</v>
      </c>
      <c r="J501" t="s">
        <v>20</v>
      </c>
      <c r="K501" s="1">
        <v>46142</v>
      </c>
      <c r="L501" s="3">
        <v>4867413</v>
      </c>
      <c r="M501" s="3">
        <v>4817312.9453680003</v>
      </c>
      <c r="N501" s="3">
        <v>4817312.9453680003</v>
      </c>
      <c r="O501" s="6" t="s">
        <v>454</v>
      </c>
      <c r="P501" t="s">
        <v>196</v>
      </c>
      <c r="Q501" s="3">
        <v>48</v>
      </c>
      <c r="R501" s="5">
        <v>0.13333300000000001</v>
      </c>
      <c r="S501" s="6" t="s">
        <v>145</v>
      </c>
      <c r="T501" t="s">
        <v>21</v>
      </c>
    </row>
    <row r="502" spans="1:20" x14ac:dyDescent="0.25">
      <c r="A502" t="s">
        <v>32</v>
      </c>
      <c r="B502" t="s">
        <v>109</v>
      </c>
      <c r="C502" t="s">
        <v>110</v>
      </c>
      <c r="D502" t="s">
        <v>111</v>
      </c>
      <c r="E502" t="s">
        <v>1297</v>
      </c>
      <c r="F502" t="s">
        <v>19</v>
      </c>
      <c r="G502" s="2">
        <v>46093</v>
      </c>
      <c r="H502" s="2">
        <v>46191</v>
      </c>
      <c r="I502" s="3">
        <v>16219161</v>
      </c>
      <c r="J502" t="s">
        <v>20</v>
      </c>
      <c r="K502" s="1">
        <v>46142</v>
      </c>
      <c r="L502" s="3">
        <v>16552951</v>
      </c>
      <c r="M502" s="3">
        <v>16384355.976996999</v>
      </c>
      <c r="N502" s="3">
        <v>16384355.976996999</v>
      </c>
      <c r="O502" s="6" t="s">
        <v>454</v>
      </c>
      <c r="P502" t="s">
        <v>196</v>
      </c>
      <c r="Q502" s="3">
        <v>49</v>
      </c>
      <c r="R502" s="5">
        <v>0.13611100000000001</v>
      </c>
      <c r="S502" s="6" t="s">
        <v>145</v>
      </c>
      <c r="T502" t="s">
        <v>21</v>
      </c>
    </row>
    <row r="503" spans="1:20" x14ac:dyDescent="0.25">
      <c r="A503" t="s">
        <v>32</v>
      </c>
      <c r="B503" t="s">
        <v>109</v>
      </c>
      <c r="C503" t="s">
        <v>110</v>
      </c>
      <c r="D503" t="s">
        <v>111</v>
      </c>
      <c r="E503" t="s">
        <v>71</v>
      </c>
      <c r="F503" t="s">
        <v>19</v>
      </c>
      <c r="G503" s="2">
        <v>46062</v>
      </c>
      <c r="H503" s="2">
        <v>46162</v>
      </c>
      <c r="I503" s="3">
        <v>7806644</v>
      </c>
      <c r="J503" t="s">
        <v>20</v>
      </c>
      <c r="K503" s="1">
        <v>46142</v>
      </c>
      <c r="L503" s="3">
        <v>7928428</v>
      </c>
      <c r="M503" s="3">
        <v>7894219.7145699998</v>
      </c>
      <c r="N503" s="3">
        <v>7894219.7145699998</v>
      </c>
      <c r="O503" s="6" t="s">
        <v>1341</v>
      </c>
      <c r="P503" t="s">
        <v>196</v>
      </c>
      <c r="Q503" s="3">
        <v>20</v>
      </c>
      <c r="R503" s="5">
        <v>5.5555E-2</v>
      </c>
      <c r="S503" s="6" t="s">
        <v>143</v>
      </c>
      <c r="T503" t="s">
        <v>21</v>
      </c>
    </row>
    <row r="504" spans="1:20" x14ac:dyDescent="0.25">
      <c r="A504" t="s">
        <v>32</v>
      </c>
      <c r="B504" t="s">
        <v>109</v>
      </c>
      <c r="C504" t="s">
        <v>110</v>
      </c>
      <c r="D504" t="s">
        <v>111</v>
      </c>
      <c r="E504" t="s">
        <v>71</v>
      </c>
      <c r="F504" t="s">
        <v>19</v>
      </c>
      <c r="G504" s="2">
        <v>46062</v>
      </c>
      <c r="H504" s="2">
        <v>46162</v>
      </c>
      <c r="I504" s="3">
        <v>29191916</v>
      </c>
      <c r="J504" t="s">
        <v>20</v>
      </c>
      <c r="K504" s="1">
        <v>46142</v>
      </c>
      <c r="L504" s="3">
        <v>29375825</v>
      </c>
      <c r="M504" s="3">
        <v>29252962.557259999</v>
      </c>
      <c r="N504" s="3">
        <v>29252962.557259999</v>
      </c>
      <c r="O504" s="6" t="s">
        <v>1341</v>
      </c>
      <c r="P504" t="s">
        <v>196</v>
      </c>
      <c r="Q504" s="3">
        <v>20</v>
      </c>
      <c r="R504" s="5">
        <v>5.5555E-2</v>
      </c>
      <c r="S504" s="6" t="s">
        <v>143</v>
      </c>
      <c r="T504" t="s">
        <v>21</v>
      </c>
    </row>
    <row r="505" spans="1:20" x14ac:dyDescent="0.25">
      <c r="A505" t="s">
        <v>32</v>
      </c>
      <c r="B505" t="s">
        <v>109</v>
      </c>
      <c r="C505" t="s">
        <v>110</v>
      </c>
      <c r="D505" t="s">
        <v>111</v>
      </c>
      <c r="E505" t="s">
        <v>71</v>
      </c>
      <c r="F505" t="s">
        <v>19</v>
      </c>
      <c r="G505" s="2">
        <v>46062</v>
      </c>
      <c r="H505" s="2">
        <v>46162</v>
      </c>
      <c r="I505" s="3">
        <v>20019856</v>
      </c>
      <c r="J505" t="s">
        <v>20</v>
      </c>
      <c r="K505" s="1">
        <v>46142</v>
      </c>
      <c r="L505" s="3">
        <v>20332166</v>
      </c>
      <c r="M505" s="3">
        <v>20244440.092930999</v>
      </c>
      <c r="N505" s="3">
        <v>20244440.092930999</v>
      </c>
      <c r="O505" s="6" t="s">
        <v>1341</v>
      </c>
      <c r="P505" t="s">
        <v>196</v>
      </c>
      <c r="Q505" s="3">
        <v>20</v>
      </c>
      <c r="R505" s="5">
        <v>5.5555E-2</v>
      </c>
      <c r="S505" s="6" t="s">
        <v>143</v>
      </c>
      <c r="T505" t="s">
        <v>21</v>
      </c>
    </row>
    <row r="506" spans="1:20" x14ac:dyDescent="0.25">
      <c r="A506" t="s">
        <v>32</v>
      </c>
      <c r="B506" t="s">
        <v>109</v>
      </c>
      <c r="C506" t="s">
        <v>110</v>
      </c>
      <c r="D506" t="s">
        <v>111</v>
      </c>
      <c r="E506" t="s">
        <v>1342</v>
      </c>
      <c r="F506" t="s">
        <v>19</v>
      </c>
      <c r="G506" s="2">
        <v>46122</v>
      </c>
      <c r="H506" s="2">
        <v>46223</v>
      </c>
      <c r="I506" s="3">
        <v>17846294</v>
      </c>
      <c r="J506" t="s">
        <v>20</v>
      </c>
      <c r="K506" s="1">
        <v>46142</v>
      </c>
      <c r="L506" s="3">
        <v>18224814</v>
      </c>
      <c r="M506" s="3">
        <v>17919994.886973001</v>
      </c>
      <c r="N506" s="3">
        <v>17919994.886973001</v>
      </c>
      <c r="O506" s="6" t="s">
        <v>1264</v>
      </c>
      <c r="P506" t="s">
        <v>196</v>
      </c>
      <c r="Q506" s="3">
        <v>81</v>
      </c>
      <c r="R506" s="5">
        <v>0.22500000000000001</v>
      </c>
      <c r="S506" s="6" t="s">
        <v>145</v>
      </c>
      <c r="T506" t="s">
        <v>21</v>
      </c>
    </row>
    <row r="507" spans="1:20" x14ac:dyDescent="0.25">
      <c r="A507" t="s">
        <v>32</v>
      </c>
      <c r="B507" t="s">
        <v>109</v>
      </c>
      <c r="C507" t="s">
        <v>110</v>
      </c>
      <c r="D507" t="s">
        <v>111</v>
      </c>
      <c r="E507" t="s">
        <v>1332</v>
      </c>
      <c r="F507" t="s">
        <v>19</v>
      </c>
      <c r="G507" s="2">
        <v>46125</v>
      </c>
      <c r="H507" s="2">
        <v>46224</v>
      </c>
      <c r="I507" s="3">
        <v>190365948</v>
      </c>
      <c r="J507" t="s">
        <v>20</v>
      </c>
      <c r="K507" s="1">
        <v>46142</v>
      </c>
      <c r="L507" s="3">
        <v>194323656</v>
      </c>
      <c r="M507" s="3">
        <v>191034049.66477299</v>
      </c>
      <c r="N507" s="3">
        <v>191034049.66477299</v>
      </c>
      <c r="O507" s="6" t="s">
        <v>373</v>
      </c>
      <c r="P507" t="s">
        <v>196</v>
      </c>
      <c r="Q507" s="3">
        <v>82</v>
      </c>
      <c r="R507" s="5">
        <v>0.22777700000000001</v>
      </c>
      <c r="S507" s="6" t="s">
        <v>145</v>
      </c>
      <c r="T507" t="s">
        <v>21</v>
      </c>
    </row>
    <row r="508" spans="1:20" x14ac:dyDescent="0.25">
      <c r="A508" t="s">
        <v>32</v>
      </c>
      <c r="B508" t="s">
        <v>109</v>
      </c>
      <c r="C508" t="s">
        <v>110</v>
      </c>
      <c r="D508" t="s">
        <v>111</v>
      </c>
      <c r="E508" t="s">
        <v>28</v>
      </c>
      <c r="F508" t="s">
        <v>19</v>
      </c>
      <c r="G508" s="2">
        <v>46062</v>
      </c>
      <c r="H508" s="2">
        <v>46164</v>
      </c>
      <c r="I508" s="3">
        <v>7495221</v>
      </c>
      <c r="J508" t="s">
        <v>20</v>
      </c>
      <c r="K508" s="1">
        <v>46142</v>
      </c>
      <c r="L508" s="3">
        <v>7615394</v>
      </c>
      <c r="M508" s="3">
        <v>7579266.1646149997</v>
      </c>
      <c r="N508" s="3">
        <v>7579266.1646149997</v>
      </c>
      <c r="O508" s="6" t="s">
        <v>1333</v>
      </c>
      <c r="P508" t="s">
        <v>196</v>
      </c>
      <c r="Q508" s="3">
        <v>22</v>
      </c>
      <c r="R508" s="5">
        <v>6.1110999999999999E-2</v>
      </c>
      <c r="S508" s="6" t="s">
        <v>143</v>
      </c>
      <c r="T508" t="s">
        <v>21</v>
      </c>
    </row>
    <row r="509" spans="1:20" x14ac:dyDescent="0.25">
      <c r="A509" t="s">
        <v>32</v>
      </c>
      <c r="B509" t="s">
        <v>109</v>
      </c>
      <c r="C509" t="s">
        <v>110</v>
      </c>
      <c r="D509" t="s">
        <v>111</v>
      </c>
      <c r="E509" t="s">
        <v>28</v>
      </c>
      <c r="F509" t="s">
        <v>19</v>
      </c>
      <c r="G509" s="2">
        <v>46062</v>
      </c>
      <c r="H509" s="2">
        <v>46164</v>
      </c>
      <c r="I509" s="3">
        <v>20198575</v>
      </c>
      <c r="J509" t="s">
        <v>20</v>
      </c>
      <c r="K509" s="1">
        <v>46142</v>
      </c>
      <c r="L509" s="3">
        <v>20522425</v>
      </c>
      <c r="M509" s="3">
        <v>20425065.521016002</v>
      </c>
      <c r="N509" s="3">
        <v>20425065.521016002</v>
      </c>
      <c r="O509" s="6" t="s">
        <v>1333</v>
      </c>
      <c r="P509" t="s">
        <v>196</v>
      </c>
      <c r="Q509" s="3">
        <v>22</v>
      </c>
      <c r="R509" s="5">
        <v>6.1110999999999999E-2</v>
      </c>
      <c r="S509" s="6" t="s">
        <v>143</v>
      </c>
      <c r="T509" t="s">
        <v>21</v>
      </c>
    </row>
    <row r="510" spans="1:20" x14ac:dyDescent="0.25">
      <c r="A510" t="s">
        <v>32</v>
      </c>
      <c r="B510" t="s">
        <v>109</v>
      </c>
      <c r="C510" t="s">
        <v>110</v>
      </c>
      <c r="D510" t="s">
        <v>111</v>
      </c>
      <c r="E510" t="s">
        <v>1298</v>
      </c>
      <c r="F510" t="s">
        <v>19</v>
      </c>
      <c r="G510" s="2">
        <v>46098</v>
      </c>
      <c r="H510" s="2">
        <v>46196</v>
      </c>
      <c r="I510" s="3">
        <v>42971268</v>
      </c>
      <c r="J510" t="s">
        <v>20</v>
      </c>
      <c r="K510" s="1">
        <v>46142</v>
      </c>
      <c r="L510" s="3">
        <v>43855617</v>
      </c>
      <c r="M510" s="3">
        <v>43363870.706192002</v>
      </c>
      <c r="N510" s="3">
        <v>43363870.706192002</v>
      </c>
      <c r="O510" s="6" t="s">
        <v>248</v>
      </c>
      <c r="P510" t="s">
        <v>196</v>
      </c>
      <c r="Q510" s="3">
        <v>54</v>
      </c>
      <c r="R510" s="5">
        <v>0.15</v>
      </c>
      <c r="S510" s="6" t="s">
        <v>145</v>
      </c>
      <c r="T510" t="s">
        <v>21</v>
      </c>
    </row>
    <row r="511" spans="1:20" x14ac:dyDescent="0.25">
      <c r="A511" t="s">
        <v>32</v>
      </c>
      <c r="B511" t="s">
        <v>109</v>
      </c>
      <c r="C511" t="s">
        <v>110</v>
      </c>
      <c r="D511" t="s">
        <v>111</v>
      </c>
      <c r="E511" t="s">
        <v>1298</v>
      </c>
      <c r="F511" t="s">
        <v>19</v>
      </c>
      <c r="G511" s="2">
        <v>46098</v>
      </c>
      <c r="H511" s="2">
        <v>46196</v>
      </c>
      <c r="I511" s="3">
        <v>28571837</v>
      </c>
      <c r="J511" t="s">
        <v>20</v>
      </c>
      <c r="K511" s="1">
        <v>46142</v>
      </c>
      <c r="L511" s="3">
        <v>29159845</v>
      </c>
      <c r="M511" s="3">
        <v>28832880.139221001</v>
      </c>
      <c r="N511" s="3">
        <v>28832880.139221001</v>
      </c>
      <c r="O511" s="6" t="s">
        <v>248</v>
      </c>
      <c r="P511" t="s">
        <v>196</v>
      </c>
      <c r="Q511" s="3">
        <v>54</v>
      </c>
      <c r="R511" s="5">
        <v>0.15</v>
      </c>
      <c r="S511" s="6" t="s">
        <v>145</v>
      </c>
      <c r="T511" t="s">
        <v>21</v>
      </c>
    </row>
    <row r="512" spans="1:20" x14ac:dyDescent="0.25">
      <c r="A512" t="s">
        <v>32</v>
      </c>
      <c r="B512" t="s">
        <v>109</v>
      </c>
      <c r="C512" t="s">
        <v>110</v>
      </c>
      <c r="D512" t="s">
        <v>111</v>
      </c>
      <c r="E512" t="s">
        <v>1344</v>
      </c>
      <c r="F512" t="s">
        <v>19</v>
      </c>
      <c r="G512" s="2">
        <v>46127</v>
      </c>
      <c r="H512" s="2">
        <v>46226</v>
      </c>
      <c r="I512" s="3">
        <v>213912976</v>
      </c>
      <c r="J512" t="s">
        <v>20</v>
      </c>
      <c r="K512" s="1">
        <v>46142</v>
      </c>
      <c r="L512" s="3">
        <v>218360227</v>
      </c>
      <c r="M512" s="3">
        <v>214575121.85055599</v>
      </c>
      <c r="N512" s="3">
        <v>214575121.85055599</v>
      </c>
      <c r="O512" s="6" t="s">
        <v>153</v>
      </c>
      <c r="P512" t="s">
        <v>196</v>
      </c>
      <c r="Q512" s="3">
        <v>84</v>
      </c>
      <c r="R512" s="5">
        <v>0.23333300000000001</v>
      </c>
      <c r="S512" s="6" t="s">
        <v>145</v>
      </c>
      <c r="T512" t="s">
        <v>21</v>
      </c>
    </row>
    <row r="513" spans="1:20" x14ac:dyDescent="0.25">
      <c r="A513" t="s">
        <v>32</v>
      </c>
      <c r="B513" t="s">
        <v>109</v>
      </c>
      <c r="C513" t="s">
        <v>110</v>
      </c>
      <c r="D513" t="s">
        <v>111</v>
      </c>
      <c r="E513" t="s">
        <v>1344</v>
      </c>
      <c r="F513" t="s">
        <v>19</v>
      </c>
      <c r="G513" s="2">
        <v>46127</v>
      </c>
      <c r="H513" s="2">
        <v>46226</v>
      </c>
      <c r="I513" s="3">
        <v>32724587</v>
      </c>
      <c r="J513" t="s">
        <v>20</v>
      </c>
      <c r="K513" s="1">
        <v>46142</v>
      </c>
      <c r="L513" s="3">
        <v>33404931</v>
      </c>
      <c r="M513" s="3">
        <v>32825882.433867</v>
      </c>
      <c r="N513" s="3">
        <v>32825882.433867</v>
      </c>
      <c r="O513" s="6" t="s">
        <v>153</v>
      </c>
      <c r="P513" t="s">
        <v>196</v>
      </c>
      <c r="Q513" s="3">
        <v>84</v>
      </c>
      <c r="R513" s="5">
        <v>0.23333300000000001</v>
      </c>
      <c r="S513" s="6" t="s">
        <v>145</v>
      </c>
      <c r="T513" t="s">
        <v>21</v>
      </c>
    </row>
    <row r="514" spans="1:20" x14ac:dyDescent="0.25">
      <c r="A514" t="s">
        <v>32</v>
      </c>
      <c r="B514" t="s">
        <v>109</v>
      </c>
      <c r="C514" t="s">
        <v>110</v>
      </c>
      <c r="D514" t="s">
        <v>111</v>
      </c>
      <c r="E514" t="s">
        <v>39</v>
      </c>
      <c r="F514" t="s">
        <v>19</v>
      </c>
      <c r="G514" s="2">
        <v>46063</v>
      </c>
      <c r="H514" s="2">
        <v>46167</v>
      </c>
      <c r="I514" s="3">
        <v>22742676</v>
      </c>
      <c r="J514" t="s">
        <v>20</v>
      </c>
      <c r="K514" s="1">
        <v>46142</v>
      </c>
      <c r="L514" s="3">
        <v>23122100</v>
      </c>
      <c r="M514" s="3">
        <v>22997530.045586001</v>
      </c>
      <c r="N514" s="3">
        <v>22997530.045586001</v>
      </c>
      <c r="O514" s="6" t="s">
        <v>150</v>
      </c>
      <c r="P514" t="s">
        <v>196</v>
      </c>
      <c r="Q514" s="3">
        <v>25</v>
      </c>
      <c r="R514" s="5">
        <v>6.9444000000000006E-2</v>
      </c>
      <c r="S514" s="6" t="s">
        <v>143</v>
      </c>
      <c r="T514" t="s">
        <v>21</v>
      </c>
    </row>
    <row r="515" spans="1:20" x14ac:dyDescent="0.25">
      <c r="A515" t="s">
        <v>32</v>
      </c>
      <c r="B515" t="s">
        <v>109</v>
      </c>
      <c r="C515" t="s">
        <v>110</v>
      </c>
      <c r="D515" t="s">
        <v>111</v>
      </c>
      <c r="E515" t="s">
        <v>1300</v>
      </c>
      <c r="F515" t="s">
        <v>19</v>
      </c>
      <c r="G515" s="2">
        <v>46100</v>
      </c>
      <c r="H515" s="2">
        <v>46198</v>
      </c>
      <c r="I515" s="3">
        <v>50461537</v>
      </c>
      <c r="J515" t="s">
        <v>20</v>
      </c>
      <c r="K515" s="1">
        <v>46142</v>
      </c>
      <c r="L515" s="3">
        <v>51500035</v>
      </c>
      <c r="M515" s="3">
        <v>50901434.134576999</v>
      </c>
      <c r="N515" s="3">
        <v>50901434.134576999</v>
      </c>
      <c r="O515" s="6" t="s">
        <v>251</v>
      </c>
      <c r="P515" t="s">
        <v>196</v>
      </c>
      <c r="Q515" s="3">
        <v>56</v>
      </c>
      <c r="R515" s="5">
        <v>0.155555</v>
      </c>
      <c r="S515" s="6" t="s">
        <v>145</v>
      </c>
      <c r="T515" t="s">
        <v>21</v>
      </c>
    </row>
    <row r="516" spans="1:20" x14ac:dyDescent="0.25">
      <c r="A516" t="s">
        <v>32</v>
      </c>
      <c r="B516" t="s">
        <v>109</v>
      </c>
      <c r="C516" t="s">
        <v>110</v>
      </c>
      <c r="D516" t="s">
        <v>111</v>
      </c>
      <c r="E516" t="s">
        <v>41</v>
      </c>
      <c r="F516" t="s">
        <v>19</v>
      </c>
      <c r="G516" s="2">
        <v>46064</v>
      </c>
      <c r="H516" s="2">
        <v>46169</v>
      </c>
      <c r="I516" s="3">
        <v>49103025</v>
      </c>
      <c r="J516" t="s">
        <v>20</v>
      </c>
      <c r="K516" s="1">
        <v>46142</v>
      </c>
      <c r="L516" s="3">
        <v>49943505</v>
      </c>
      <c r="M516" s="3">
        <v>49653034.746731997</v>
      </c>
      <c r="N516" s="3">
        <v>49653034.746731997</v>
      </c>
      <c r="O516" s="6" t="s">
        <v>521</v>
      </c>
      <c r="P516" t="s">
        <v>196</v>
      </c>
      <c r="Q516" s="3">
        <v>27</v>
      </c>
      <c r="R516" s="5">
        <v>7.4999999999999997E-2</v>
      </c>
      <c r="S516" s="6" t="s">
        <v>143</v>
      </c>
      <c r="T516" t="s">
        <v>21</v>
      </c>
    </row>
    <row r="517" spans="1:20" x14ac:dyDescent="0.25">
      <c r="A517" t="s">
        <v>32</v>
      </c>
      <c r="B517" t="s">
        <v>109</v>
      </c>
      <c r="C517" t="s">
        <v>110</v>
      </c>
      <c r="D517" t="s">
        <v>111</v>
      </c>
      <c r="E517" t="s">
        <v>41</v>
      </c>
      <c r="F517" t="s">
        <v>19</v>
      </c>
      <c r="G517" s="2">
        <v>46064</v>
      </c>
      <c r="H517" s="2">
        <v>46169</v>
      </c>
      <c r="I517" s="3">
        <v>18953430</v>
      </c>
      <c r="J517" t="s">
        <v>20</v>
      </c>
      <c r="K517" s="1">
        <v>46142</v>
      </c>
      <c r="L517" s="3">
        <v>19277850</v>
      </c>
      <c r="M517" s="3">
        <v>19165730.476711001</v>
      </c>
      <c r="N517" s="3">
        <v>19165730.476711001</v>
      </c>
      <c r="O517" s="6" t="s">
        <v>521</v>
      </c>
      <c r="P517" t="s">
        <v>196</v>
      </c>
      <c r="Q517" s="3">
        <v>27</v>
      </c>
      <c r="R517" s="5">
        <v>7.4999999999999997E-2</v>
      </c>
      <c r="S517" s="6" t="s">
        <v>143</v>
      </c>
      <c r="T517" t="s">
        <v>21</v>
      </c>
    </row>
    <row r="518" spans="1:20" x14ac:dyDescent="0.25">
      <c r="A518" t="s">
        <v>32</v>
      </c>
      <c r="B518" t="s">
        <v>109</v>
      </c>
      <c r="C518" t="s">
        <v>110</v>
      </c>
      <c r="D518" t="s">
        <v>111</v>
      </c>
      <c r="E518" t="s">
        <v>41</v>
      </c>
      <c r="F518" t="s">
        <v>19</v>
      </c>
      <c r="G518" s="2">
        <v>46064</v>
      </c>
      <c r="H518" s="2">
        <v>46169</v>
      </c>
      <c r="I518" s="3">
        <v>4175826</v>
      </c>
      <c r="J518" t="s">
        <v>20</v>
      </c>
      <c r="K518" s="1">
        <v>46142</v>
      </c>
      <c r="L518" s="3">
        <v>4247302</v>
      </c>
      <c r="M518" s="3">
        <v>4222599.7912210003</v>
      </c>
      <c r="N518" s="3">
        <v>4222599.7912210003</v>
      </c>
      <c r="O518" s="6" t="s">
        <v>521</v>
      </c>
      <c r="P518" t="s">
        <v>196</v>
      </c>
      <c r="Q518" s="3">
        <v>27</v>
      </c>
      <c r="R518" s="5">
        <v>7.4999999999999997E-2</v>
      </c>
      <c r="S518" s="6" t="s">
        <v>143</v>
      </c>
      <c r="T518" t="s">
        <v>21</v>
      </c>
    </row>
    <row r="519" spans="1:20" x14ac:dyDescent="0.25">
      <c r="A519" t="s">
        <v>32</v>
      </c>
      <c r="B519" t="s">
        <v>109</v>
      </c>
      <c r="C519" t="s">
        <v>110</v>
      </c>
      <c r="D519" t="s">
        <v>111</v>
      </c>
      <c r="E519" t="s">
        <v>1346</v>
      </c>
      <c r="F519" t="s">
        <v>19</v>
      </c>
      <c r="G519" s="2">
        <v>46129</v>
      </c>
      <c r="H519" s="2">
        <v>46230</v>
      </c>
      <c r="I519" s="3">
        <v>107673724</v>
      </c>
      <c r="J519" t="s">
        <v>20</v>
      </c>
      <c r="K519" s="1">
        <v>46142</v>
      </c>
      <c r="L519" s="3">
        <v>109889649</v>
      </c>
      <c r="M519" s="3">
        <v>107895735.80237199</v>
      </c>
      <c r="N519" s="3">
        <v>107895735.80237199</v>
      </c>
      <c r="O519" s="6" t="s">
        <v>153</v>
      </c>
      <c r="P519" t="s">
        <v>196</v>
      </c>
      <c r="Q519" s="3">
        <v>88</v>
      </c>
      <c r="R519" s="5">
        <v>0.24444399999999999</v>
      </c>
      <c r="S519" s="6" t="s">
        <v>145</v>
      </c>
      <c r="T519" t="s">
        <v>21</v>
      </c>
    </row>
    <row r="520" spans="1:20" x14ac:dyDescent="0.25">
      <c r="A520" t="s">
        <v>32</v>
      </c>
      <c r="B520" t="s">
        <v>109</v>
      </c>
      <c r="C520" t="s">
        <v>110</v>
      </c>
      <c r="D520" t="s">
        <v>111</v>
      </c>
      <c r="E520" t="s">
        <v>1346</v>
      </c>
      <c r="F520" t="s">
        <v>19</v>
      </c>
      <c r="G520" s="2">
        <v>46129</v>
      </c>
      <c r="H520" s="2">
        <v>46230</v>
      </c>
      <c r="I520" s="3">
        <v>27098905</v>
      </c>
      <c r="J520" t="s">
        <v>20</v>
      </c>
      <c r="K520" s="1">
        <v>46142</v>
      </c>
      <c r="L520" s="3">
        <v>27656600</v>
      </c>
      <c r="M520" s="3">
        <v>27154779.671668001</v>
      </c>
      <c r="N520" s="3">
        <v>27154779.671668001</v>
      </c>
      <c r="O520" s="6" t="s">
        <v>153</v>
      </c>
      <c r="P520" t="s">
        <v>196</v>
      </c>
      <c r="Q520" s="3">
        <v>88</v>
      </c>
      <c r="R520" s="5">
        <v>0.24444399999999999</v>
      </c>
      <c r="S520" s="6" t="s">
        <v>145</v>
      </c>
      <c r="T520" t="s">
        <v>21</v>
      </c>
    </row>
    <row r="521" spans="1:20" x14ac:dyDescent="0.25">
      <c r="A521" t="s">
        <v>32</v>
      </c>
      <c r="B521" t="s">
        <v>109</v>
      </c>
      <c r="C521" t="s">
        <v>110</v>
      </c>
      <c r="D521" t="s">
        <v>111</v>
      </c>
      <c r="E521" t="s">
        <v>1346</v>
      </c>
      <c r="F521" t="s">
        <v>19</v>
      </c>
      <c r="G521" s="2">
        <v>46129</v>
      </c>
      <c r="H521" s="2">
        <v>46230</v>
      </c>
      <c r="I521" s="3">
        <v>15491655</v>
      </c>
      <c r="J521" t="s">
        <v>20</v>
      </c>
      <c r="K521" s="1">
        <v>46142</v>
      </c>
      <c r="L521" s="3">
        <v>15810473</v>
      </c>
      <c r="M521" s="3">
        <v>15523596.928757001</v>
      </c>
      <c r="N521" s="3">
        <v>15523596.928757001</v>
      </c>
      <c r="O521" s="6" t="s">
        <v>153</v>
      </c>
      <c r="P521" t="s">
        <v>196</v>
      </c>
      <c r="Q521" s="3">
        <v>88</v>
      </c>
      <c r="R521" s="5">
        <v>0.24444399999999999</v>
      </c>
      <c r="S521" s="6" t="s">
        <v>145</v>
      </c>
      <c r="T521" t="s">
        <v>21</v>
      </c>
    </row>
    <row r="522" spans="1:20" x14ac:dyDescent="0.25">
      <c r="A522" t="s">
        <v>32</v>
      </c>
      <c r="B522" t="s">
        <v>109</v>
      </c>
      <c r="C522" t="s">
        <v>110</v>
      </c>
      <c r="D522" t="s">
        <v>111</v>
      </c>
      <c r="E522" t="s">
        <v>62</v>
      </c>
      <c r="F522" t="s">
        <v>19</v>
      </c>
      <c r="G522" s="2">
        <v>46069</v>
      </c>
      <c r="H522" s="2">
        <v>46170</v>
      </c>
      <c r="I522" s="3">
        <v>8753884</v>
      </c>
      <c r="J522" t="s">
        <v>20</v>
      </c>
      <c r="K522" s="1">
        <v>46142</v>
      </c>
      <c r="L522" s="3">
        <v>8905618</v>
      </c>
      <c r="M522" s="3">
        <v>8851916.3739979994</v>
      </c>
      <c r="N522" s="3">
        <v>8851916.3739979994</v>
      </c>
      <c r="O522" s="6" t="s">
        <v>169</v>
      </c>
      <c r="P522" t="s">
        <v>196</v>
      </c>
      <c r="Q522" s="3">
        <v>28</v>
      </c>
      <c r="R522" s="5">
        <v>7.7776999999999999E-2</v>
      </c>
      <c r="S522" s="6" t="s">
        <v>143</v>
      </c>
      <c r="T522" t="s">
        <v>21</v>
      </c>
    </row>
    <row r="523" spans="1:20" x14ac:dyDescent="0.25">
      <c r="A523" t="s">
        <v>32</v>
      </c>
      <c r="B523" t="s">
        <v>109</v>
      </c>
      <c r="C523" t="s">
        <v>110</v>
      </c>
      <c r="D523" t="s">
        <v>111</v>
      </c>
      <c r="E523" t="s">
        <v>62</v>
      </c>
      <c r="F523" t="s">
        <v>19</v>
      </c>
      <c r="G523" s="2">
        <v>46069</v>
      </c>
      <c r="H523" s="2">
        <v>46170</v>
      </c>
      <c r="I523" s="3">
        <v>48969584</v>
      </c>
      <c r="J523" t="s">
        <v>20</v>
      </c>
      <c r="K523" s="1">
        <v>46142</v>
      </c>
      <c r="L523" s="3">
        <v>49818390</v>
      </c>
      <c r="M523" s="3">
        <v>49517980.915778004</v>
      </c>
      <c r="N523" s="3">
        <v>49517980.915778004</v>
      </c>
      <c r="O523" s="6" t="s">
        <v>169</v>
      </c>
      <c r="P523" t="s">
        <v>196</v>
      </c>
      <c r="Q523" s="3">
        <v>28</v>
      </c>
      <c r="R523" s="5">
        <v>7.7776999999999999E-2</v>
      </c>
      <c r="S523" s="6" t="s">
        <v>143</v>
      </c>
      <c r="T523" t="s">
        <v>21</v>
      </c>
    </row>
    <row r="524" spans="1:20" x14ac:dyDescent="0.25">
      <c r="A524" t="s">
        <v>32</v>
      </c>
      <c r="B524" t="s">
        <v>109</v>
      </c>
      <c r="C524" t="s">
        <v>110</v>
      </c>
      <c r="D524" t="s">
        <v>111</v>
      </c>
      <c r="E524" t="s">
        <v>62</v>
      </c>
      <c r="F524" t="s">
        <v>19</v>
      </c>
      <c r="G524" s="2">
        <v>46069</v>
      </c>
      <c r="H524" s="2">
        <v>46170</v>
      </c>
      <c r="I524" s="3">
        <v>39854712</v>
      </c>
      <c r="J524" t="s">
        <v>20</v>
      </c>
      <c r="K524" s="1">
        <v>46142</v>
      </c>
      <c r="L524" s="3">
        <v>40545527</v>
      </c>
      <c r="M524" s="3">
        <v>40301034.060036004</v>
      </c>
      <c r="N524" s="3">
        <v>40301034.060036004</v>
      </c>
      <c r="O524" s="6" t="s">
        <v>169</v>
      </c>
      <c r="P524" t="s">
        <v>196</v>
      </c>
      <c r="Q524" s="3">
        <v>28</v>
      </c>
      <c r="R524" s="5">
        <v>7.7776999999999999E-2</v>
      </c>
      <c r="S524" s="6" t="s">
        <v>143</v>
      </c>
      <c r="T524" t="s">
        <v>21</v>
      </c>
    </row>
    <row r="525" spans="1:20" x14ac:dyDescent="0.25">
      <c r="A525" t="s">
        <v>32</v>
      </c>
      <c r="B525" t="s">
        <v>109</v>
      </c>
      <c r="C525" t="s">
        <v>110</v>
      </c>
      <c r="D525" t="s">
        <v>111</v>
      </c>
      <c r="E525" t="s">
        <v>62</v>
      </c>
      <c r="F525" t="s">
        <v>19</v>
      </c>
      <c r="G525" s="2">
        <v>46069</v>
      </c>
      <c r="H525" s="2">
        <v>46170</v>
      </c>
      <c r="I525" s="3">
        <v>20113067</v>
      </c>
      <c r="J525" t="s">
        <v>20</v>
      </c>
      <c r="K525" s="1">
        <v>46142</v>
      </c>
      <c r="L525" s="3">
        <v>20461693</v>
      </c>
      <c r="M525" s="3">
        <v>20338307.269233</v>
      </c>
      <c r="N525" s="3">
        <v>20338307.269233</v>
      </c>
      <c r="O525" s="6" t="s">
        <v>169</v>
      </c>
      <c r="P525" t="s">
        <v>196</v>
      </c>
      <c r="Q525" s="3">
        <v>28</v>
      </c>
      <c r="R525" s="5">
        <v>7.7776999999999999E-2</v>
      </c>
      <c r="S525" s="6" t="s">
        <v>143</v>
      </c>
      <c r="T525" t="s">
        <v>21</v>
      </c>
    </row>
    <row r="526" spans="1:20" x14ac:dyDescent="0.25">
      <c r="A526" t="s">
        <v>32</v>
      </c>
      <c r="B526" t="s">
        <v>109</v>
      </c>
      <c r="C526" t="s">
        <v>110</v>
      </c>
      <c r="D526" t="s">
        <v>111</v>
      </c>
      <c r="E526" t="s">
        <v>29</v>
      </c>
      <c r="F526" t="s">
        <v>19</v>
      </c>
      <c r="G526" s="2">
        <v>46080</v>
      </c>
      <c r="H526" s="2">
        <v>46171</v>
      </c>
      <c r="I526" s="3">
        <v>22811954</v>
      </c>
      <c r="J526" t="s">
        <v>20</v>
      </c>
      <c r="K526" s="1">
        <v>46142</v>
      </c>
      <c r="L526" s="3">
        <v>23212304</v>
      </c>
      <c r="M526" s="3">
        <v>23067364.062474001</v>
      </c>
      <c r="N526" s="3">
        <v>23067364.062474001</v>
      </c>
      <c r="O526" s="6" t="s">
        <v>140</v>
      </c>
      <c r="P526" t="s">
        <v>201</v>
      </c>
      <c r="Q526" s="3">
        <v>29</v>
      </c>
      <c r="R526" s="5">
        <v>8.0555000000000002E-2</v>
      </c>
      <c r="S526" s="6" t="s">
        <v>143</v>
      </c>
      <c r="T526" t="s">
        <v>21</v>
      </c>
    </row>
    <row r="527" spans="1:20" x14ac:dyDescent="0.25">
      <c r="A527" t="s">
        <v>32</v>
      </c>
      <c r="B527" t="s">
        <v>109</v>
      </c>
      <c r="C527" t="s">
        <v>110</v>
      </c>
      <c r="D527" t="s">
        <v>111</v>
      </c>
      <c r="E527" t="s">
        <v>1347</v>
      </c>
      <c r="F527" t="s">
        <v>19</v>
      </c>
      <c r="G527" s="2">
        <v>46133</v>
      </c>
      <c r="H527" s="2">
        <v>46232</v>
      </c>
      <c r="I527" s="3">
        <v>24179757</v>
      </c>
      <c r="J527" t="s">
        <v>20</v>
      </c>
      <c r="K527" s="1">
        <v>46142</v>
      </c>
      <c r="L527" s="3">
        <v>24682454</v>
      </c>
      <c r="M527" s="3">
        <v>24224608.891941998</v>
      </c>
      <c r="N527" s="3">
        <v>24224608.891941998</v>
      </c>
      <c r="O527" s="6" t="s">
        <v>153</v>
      </c>
      <c r="P527" t="s">
        <v>196</v>
      </c>
      <c r="Q527" s="3">
        <v>90</v>
      </c>
      <c r="R527" s="5">
        <v>0.25</v>
      </c>
      <c r="S527" s="6" t="s">
        <v>145</v>
      </c>
      <c r="T527" t="s">
        <v>21</v>
      </c>
    </row>
    <row r="528" spans="1:20" x14ac:dyDescent="0.25">
      <c r="A528" t="s">
        <v>32</v>
      </c>
      <c r="B528" t="s">
        <v>109</v>
      </c>
      <c r="C528" t="s">
        <v>110</v>
      </c>
      <c r="D528" t="s">
        <v>111</v>
      </c>
      <c r="E528" t="s">
        <v>1348</v>
      </c>
      <c r="F528" t="s">
        <v>19</v>
      </c>
      <c r="G528" s="2">
        <v>46134</v>
      </c>
      <c r="H528" s="2">
        <v>46233</v>
      </c>
      <c r="I528" s="3">
        <v>16382129</v>
      </c>
      <c r="J528" t="s">
        <v>20</v>
      </c>
      <c r="K528" s="1">
        <v>46142</v>
      </c>
      <c r="L528" s="3">
        <v>16722713</v>
      </c>
      <c r="M528" s="3">
        <v>16409134.440835999</v>
      </c>
      <c r="N528" s="3">
        <v>16409134.440835999</v>
      </c>
      <c r="O528" s="6" t="s">
        <v>147</v>
      </c>
      <c r="P528" t="s">
        <v>196</v>
      </c>
      <c r="Q528" s="3">
        <v>91</v>
      </c>
      <c r="R528" s="5">
        <v>0.25277699999999997</v>
      </c>
      <c r="S528" s="6" t="s">
        <v>141</v>
      </c>
      <c r="T528" t="s">
        <v>21</v>
      </c>
    </row>
    <row r="529" spans="1:20" x14ac:dyDescent="0.25">
      <c r="A529" t="s">
        <v>32</v>
      </c>
      <c r="B529" t="s">
        <v>109</v>
      </c>
      <c r="C529" t="s">
        <v>110</v>
      </c>
      <c r="D529" t="s">
        <v>111</v>
      </c>
      <c r="E529" t="s">
        <v>1359</v>
      </c>
      <c r="F529" t="s">
        <v>19</v>
      </c>
      <c r="G529" s="2">
        <v>46135</v>
      </c>
      <c r="H529" s="2">
        <v>46234</v>
      </c>
      <c r="I529" s="3">
        <v>24604390</v>
      </c>
      <c r="J529" t="s">
        <v>20</v>
      </c>
      <c r="K529" s="1">
        <v>46142</v>
      </c>
      <c r="L529" s="3">
        <v>25115915</v>
      </c>
      <c r="M529" s="3">
        <v>24639872.660204999</v>
      </c>
      <c r="N529" s="3">
        <v>24639872.660204999</v>
      </c>
      <c r="O529" s="6" t="s">
        <v>521</v>
      </c>
      <c r="P529" t="s">
        <v>196</v>
      </c>
      <c r="Q529" s="3">
        <v>92</v>
      </c>
      <c r="R529" s="5">
        <v>0.25555499999999998</v>
      </c>
      <c r="S529" s="6" t="s">
        <v>141</v>
      </c>
      <c r="T529" t="s">
        <v>21</v>
      </c>
    </row>
    <row r="530" spans="1:20" x14ac:dyDescent="0.25">
      <c r="A530" t="s">
        <v>32</v>
      </c>
      <c r="B530" t="s">
        <v>109</v>
      </c>
      <c r="C530" t="s">
        <v>110</v>
      </c>
      <c r="D530" t="s">
        <v>111</v>
      </c>
      <c r="E530" t="s">
        <v>1359</v>
      </c>
      <c r="F530" t="s">
        <v>19</v>
      </c>
      <c r="G530" s="2">
        <v>46135</v>
      </c>
      <c r="H530" s="2">
        <v>46234</v>
      </c>
      <c r="I530" s="3">
        <v>19881455</v>
      </c>
      <c r="J530" t="s">
        <v>20</v>
      </c>
      <c r="K530" s="1">
        <v>46142</v>
      </c>
      <c r="L530" s="3">
        <v>20294790</v>
      </c>
      <c r="M530" s="3">
        <v>19910126.358748998</v>
      </c>
      <c r="N530" s="3">
        <v>19910126.358748998</v>
      </c>
      <c r="O530" s="6" t="s">
        <v>521</v>
      </c>
      <c r="P530" t="s">
        <v>196</v>
      </c>
      <c r="Q530" s="3">
        <v>92</v>
      </c>
      <c r="R530" s="5">
        <v>0.25555499999999998</v>
      </c>
      <c r="S530" s="6" t="s">
        <v>141</v>
      </c>
      <c r="T530" t="s">
        <v>21</v>
      </c>
    </row>
    <row r="531" spans="1:20" x14ac:dyDescent="0.25">
      <c r="A531" t="s">
        <v>32</v>
      </c>
      <c r="B531" t="s">
        <v>109</v>
      </c>
      <c r="C531" t="s">
        <v>110</v>
      </c>
      <c r="D531" t="s">
        <v>111</v>
      </c>
      <c r="E531" t="s">
        <v>1301</v>
      </c>
      <c r="F531" t="s">
        <v>19</v>
      </c>
      <c r="G531" s="2">
        <v>46105</v>
      </c>
      <c r="H531" s="2">
        <v>46204</v>
      </c>
      <c r="I531" s="3">
        <v>7116375</v>
      </c>
      <c r="J531" t="s">
        <v>20</v>
      </c>
      <c r="K531" s="1">
        <v>46142</v>
      </c>
      <c r="L531" s="3">
        <v>7264324</v>
      </c>
      <c r="M531" s="3">
        <v>7170958.1252100002</v>
      </c>
      <c r="N531" s="3">
        <v>7170958.1252100002</v>
      </c>
      <c r="O531" s="6" t="s">
        <v>317</v>
      </c>
      <c r="P531" t="s">
        <v>201</v>
      </c>
      <c r="Q531" s="3">
        <v>62</v>
      </c>
      <c r="R531" s="5">
        <v>0.17222199999999999</v>
      </c>
      <c r="S531" s="6" t="s">
        <v>145</v>
      </c>
      <c r="T531" t="s">
        <v>21</v>
      </c>
    </row>
    <row r="532" spans="1:20" x14ac:dyDescent="0.25">
      <c r="A532" t="s">
        <v>32</v>
      </c>
      <c r="B532" t="s">
        <v>109</v>
      </c>
      <c r="C532" t="s">
        <v>110</v>
      </c>
      <c r="D532" t="s">
        <v>111</v>
      </c>
      <c r="E532" t="s">
        <v>42</v>
      </c>
      <c r="F532" t="s">
        <v>19</v>
      </c>
      <c r="G532" s="2">
        <v>46079</v>
      </c>
      <c r="H532" s="2">
        <v>46176</v>
      </c>
      <c r="I532" s="3">
        <v>13139227</v>
      </c>
      <c r="J532" t="s">
        <v>20</v>
      </c>
      <c r="K532" s="1">
        <v>46142</v>
      </c>
      <c r="L532" s="3">
        <v>13384055</v>
      </c>
      <c r="M532" s="3">
        <v>13286180.139637999</v>
      </c>
      <c r="N532" s="3">
        <v>13286180.139637999</v>
      </c>
      <c r="O532" s="6" t="s">
        <v>1287</v>
      </c>
      <c r="P532" t="s">
        <v>1349</v>
      </c>
      <c r="Q532" s="3">
        <v>34</v>
      </c>
      <c r="R532" s="5">
        <v>9.4444E-2</v>
      </c>
      <c r="S532" s="6" t="s">
        <v>145</v>
      </c>
      <c r="T532" t="s">
        <v>21</v>
      </c>
    </row>
    <row r="533" spans="1:20" x14ac:dyDescent="0.25">
      <c r="A533" t="s">
        <v>32</v>
      </c>
      <c r="B533" t="s">
        <v>109</v>
      </c>
      <c r="C533" t="s">
        <v>110</v>
      </c>
      <c r="D533" t="s">
        <v>111</v>
      </c>
      <c r="E533" t="s">
        <v>1304</v>
      </c>
      <c r="F533" t="s">
        <v>19</v>
      </c>
      <c r="G533" s="2">
        <v>46085</v>
      </c>
      <c r="H533" s="2">
        <v>46181</v>
      </c>
      <c r="I533" s="3">
        <v>4204269</v>
      </c>
      <c r="J533" t="s">
        <v>20</v>
      </c>
      <c r="K533" s="1">
        <v>46142</v>
      </c>
      <c r="L533" s="3">
        <v>4291718</v>
      </c>
      <c r="M533" s="3">
        <v>4255756.8545789998</v>
      </c>
      <c r="N533" s="3">
        <v>4255756.8545789998</v>
      </c>
      <c r="O533" s="6"/>
      <c r="P533" t="s">
        <v>196</v>
      </c>
      <c r="Q533" s="3">
        <v>39</v>
      </c>
      <c r="R533" s="5">
        <v>0.108333</v>
      </c>
      <c r="S533" s="6" t="s">
        <v>145</v>
      </c>
      <c r="T533" t="s">
        <v>21</v>
      </c>
    </row>
    <row r="534" spans="1:20" x14ac:dyDescent="0.25">
      <c r="A534" t="s">
        <v>32</v>
      </c>
      <c r="B534" t="s">
        <v>109</v>
      </c>
      <c r="C534" t="s">
        <v>110</v>
      </c>
      <c r="D534" t="s">
        <v>111</v>
      </c>
      <c r="E534" t="s">
        <v>48</v>
      </c>
      <c r="F534" t="s">
        <v>19</v>
      </c>
      <c r="G534" s="2">
        <v>46051</v>
      </c>
      <c r="H534" s="2">
        <v>46156</v>
      </c>
      <c r="I534" s="3">
        <v>287455801</v>
      </c>
      <c r="J534" t="s">
        <v>20</v>
      </c>
      <c r="K534" s="1">
        <v>46142</v>
      </c>
      <c r="L534" s="3">
        <v>291566419</v>
      </c>
      <c r="M534" s="3">
        <v>290684675.48436397</v>
      </c>
      <c r="N534" s="3">
        <v>290684675.48436397</v>
      </c>
      <c r="O534" s="6" t="s">
        <v>161</v>
      </c>
      <c r="P534" t="s">
        <v>300</v>
      </c>
      <c r="Q534" s="3">
        <v>14</v>
      </c>
      <c r="R534" s="5">
        <v>3.8887999999999999E-2</v>
      </c>
      <c r="S534" s="6" t="s">
        <v>143</v>
      </c>
      <c r="T534" t="s">
        <v>21</v>
      </c>
    </row>
    <row r="535" spans="1:20" x14ac:dyDescent="0.25">
      <c r="A535" t="s">
        <v>32</v>
      </c>
      <c r="B535" t="s">
        <v>109</v>
      </c>
      <c r="C535" t="s">
        <v>110</v>
      </c>
      <c r="D535" t="s">
        <v>111</v>
      </c>
      <c r="E535" t="s">
        <v>48</v>
      </c>
      <c r="F535" t="s">
        <v>19</v>
      </c>
      <c r="G535" s="2">
        <v>46051</v>
      </c>
      <c r="H535" s="2">
        <v>46156</v>
      </c>
      <c r="I535" s="3">
        <v>27504517</v>
      </c>
      <c r="J535" t="s">
        <v>20</v>
      </c>
      <c r="K535" s="1">
        <v>46142</v>
      </c>
      <c r="L535" s="3">
        <v>27897832</v>
      </c>
      <c r="M535" s="3">
        <v>27813464.491044</v>
      </c>
      <c r="N535" s="3">
        <v>27813464.491044</v>
      </c>
      <c r="O535" s="6" t="s">
        <v>161</v>
      </c>
      <c r="P535" t="s">
        <v>300</v>
      </c>
      <c r="Q535" s="3">
        <v>14</v>
      </c>
      <c r="R535" s="5">
        <v>3.8887999999999999E-2</v>
      </c>
      <c r="S535" s="6" t="s">
        <v>143</v>
      </c>
      <c r="T535" t="s">
        <v>21</v>
      </c>
    </row>
    <row r="536" spans="1:20" x14ac:dyDescent="0.25">
      <c r="A536" t="s">
        <v>32</v>
      </c>
      <c r="B536" t="s">
        <v>109</v>
      </c>
      <c r="C536" t="s">
        <v>110</v>
      </c>
      <c r="D536" t="s">
        <v>111</v>
      </c>
      <c r="E536" t="s">
        <v>1306</v>
      </c>
      <c r="F536" t="s">
        <v>19</v>
      </c>
      <c r="G536" s="2">
        <v>46091</v>
      </c>
      <c r="H536" s="2">
        <v>46189</v>
      </c>
      <c r="I536" s="3">
        <v>45611544</v>
      </c>
      <c r="J536" t="s">
        <v>20</v>
      </c>
      <c r="K536" s="1">
        <v>46142</v>
      </c>
      <c r="L536" s="3">
        <v>46580029</v>
      </c>
      <c r="M536" s="3">
        <v>46110470.706637003</v>
      </c>
      <c r="N536" s="3">
        <v>46110470.706637003</v>
      </c>
      <c r="O536" s="6"/>
      <c r="P536" t="s">
        <v>196</v>
      </c>
      <c r="Q536" s="3">
        <v>47</v>
      </c>
      <c r="R536" s="5">
        <v>0.130555</v>
      </c>
      <c r="S536" s="6" t="s">
        <v>145</v>
      </c>
      <c r="T536" t="s">
        <v>21</v>
      </c>
    </row>
    <row r="537" spans="1:20" x14ac:dyDescent="0.25">
      <c r="A537" t="s">
        <v>32</v>
      </c>
      <c r="B537" t="s">
        <v>109</v>
      </c>
      <c r="C537" t="s">
        <v>110</v>
      </c>
      <c r="D537" t="s">
        <v>111</v>
      </c>
      <c r="E537" t="s">
        <v>76</v>
      </c>
      <c r="F537" t="s">
        <v>19</v>
      </c>
      <c r="G537" s="2">
        <v>46080</v>
      </c>
      <c r="H537" s="2">
        <v>46171</v>
      </c>
      <c r="I537" s="3">
        <v>54109651</v>
      </c>
      <c r="J537" t="s">
        <v>20</v>
      </c>
      <c r="K537" s="1">
        <v>46142</v>
      </c>
      <c r="L537" s="3">
        <v>54677802</v>
      </c>
      <c r="M537" s="3">
        <v>54346829.806479</v>
      </c>
      <c r="N537" s="3">
        <v>54346829.806479</v>
      </c>
      <c r="O537" s="6" t="s">
        <v>268</v>
      </c>
      <c r="P537" t="s">
        <v>201</v>
      </c>
      <c r="Q537" s="3">
        <v>29</v>
      </c>
      <c r="R537" s="5">
        <v>8.0555000000000002E-2</v>
      </c>
      <c r="S537" s="6" t="s">
        <v>143</v>
      </c>
      <c r="T537" t="s">
        <v>21</v>
      </c>
    </row>
    <row r="538" spans="1:20" x14ac:dyDescent="0.25">
      <c r="A538" t="s">
        <v>32</v>
      </c>
      <c r="B538" t="s">
        <v>109</v>
      </c>
      <c r="C538" t="s">
        <v>110</v>
      </c>
      <c r="D538" t="s">
        <v>111</v>
      </c>
      <c r="E538" t="s">
        <v>1310</v>
      </c>
      <c r="F538" t="s">
        <v>19</v>
      </c>
      <c r="G538" s="2">
        <v>46104</v>
      </c>
      <c r="H538" s="2">
        <v>46203</v>
      </c>
      <c r="I538" s="3">
        <v>95433269</v>
      </c>
      <c r="J538" t="s">
        <v>20</v>
      </c>
      <c r="K538" s="1">
        <v>46142</v>
      </c>
      <c r="L538" s="3">
        <v>97417327</v>
      </c>
      <c r="M538" s="3">
        <v>96185194.656451002</v>
      </c>
      <c r="N538" s="3">
        <v>96185194.656451002</v>
      </c>
      <c r="O538" s="6" t="s">
        <v>307</v>
      </c>
      <c r="P538" t="s">
        <v>201</v>
      </c>
      <c r="Q538" s="3">
        <v>61</v>
      </c>
      <c r="R538" s="5">
        <v>0.16944400000000001</v>
      </c>
      <c r="S538" s="6" t="s">
        <v>145</v>
      </c>
      <c r="T538" t="s">
        <v>21</v>
      </c>
    </row>
    <row r="539" spans="1:20" x14ac:dyDescent="0.25">
      <c r="A539" t="s">
        <v>32</v>
      </c>
      <c r="B539" t="s">
        <v>109</v>
      </c>
      <c r="C539" t="s">
        <v>110</v>
      </c>
      <c r="D539" t="s">
        <v>111</v>
      </c>
      <c r="E539" t="s">
        <v>83</v>
      </c>
      <c r="F539" t="s">
        <v>52</v>
      </c>
      <c r="G539" s="2">
        <v>46058</v>
      </c>
      <c r="H539" s="2">
        <v>46157</v>
      </c>
      <c r="I539" s="3">
        <v>155857904</v>
      </c>
      <c r="J539" t="s">
        <v>53</v>
      </c>
      <c r="K539" s="1">
        <v>46142</v>
      </c>
      <c r="L539" s="3">
        <v>3969.7516000000001</v>
      </c>
      <c r="M539" s="3">
        <v>3963.1463560000002</v>
      </c>
      <c r="N539" s="3">
        <v>159002224.434928</v>
      </c>
      <c r="O539" s="6" t="s">
        <v>175</v>
      </c>
      <c r="P539" t="s">
        <v>208</v>
      </c>
      <c r="Q539" s="3">
        <v>15</v>
      </c>
      <c r="R539" s="5">
        <v>4.1666000000000002E-2</v>
      </c>
      <c r="S539" s="6" t="s">
        <v>143</v>
      </c>
      <c r="T539" t="s">
        <v>21</v>
      </c>
    </row>
    <row r="540" spans="1:20" x14ac:dyDescent="0.25">
      <c r="A540" t="s">
        <v>32</v>
      </c>
      <c r="B540" t="s">
        <v>112</v>
      </c>
      <c r="C540" t="s">
        <v>113</v>
      </c>
      <c r="D540" t="s">
        <v>114</v>
      </c>
      <c r="E540" t="s">
        <v>31</v>
      </c>
      <c r="F540" t="s">
        <v>19</v>
      </c>
      <c r="G540" s="2">
        <v>46077</v>
      </c>
      <c r="H540" s="2">
        <v>46175</v>
      </c>
      <c r="I540" s="3">
        <v>1785500</v>
      </c>
      <c r="J540" t="s">
        <v>20</v>
      </c>
      <c r="K540" s="1">
        <v>46142</v>
      </c>
      <c r="L540" s="3">
        <v>1819930</v>
      </c>
      <c r="M540" s="3">
        <v>1807009.8793629999</v>
      </c>
      <c r="N540" s="3">
        <v>1807009.8793629999</v>
      </c>
      <c r="O540" s="6" t="s">
        <v>149</v>
      </c>
      <c r="P540" t="s">
        <v>201</v>
      </c>
      <c r="Q540" s="3">
        <v>33</v>
      </c>
      <c r="R540" s="5">
        <v>9.1665999999999997E-2</v>
      </c>
      <c r="S540" s="6" t="s">
        <v>145</v>
      </c>
      <c r="T540" t="s">
        <v>21</v>
      </c>
    </row>
    <row r="541" spans="1:20" x14ac:dyDescent="0.25">
      <c r="A541" t="s">
        <v>32</v>
      </c>
      <c r="B541" t="s">
        <v>112</v>
      </c>
      <c r="C541" t="s">
        <v>113</v>
      </c>
      <c r="D541" t="s">
        <v>114</v>
      </c>
      <c r="E541" t="s">
        <v>22</v>
      </c>
      <c r="F541" t="s">
        <v>19</v>
      </c>
      <c r="G541" s="2">
        <v>46043</v>
      </c>
      <c r="H541" s="2">
        <v>46146</v>
      </c>
      <c r="I541" s="3">
        <v>8851011</v>
      </c>
      <c r="J541" t="s">
        <v>20</v>
      </c>
      <c r="K541" s="1">
        <v>46142</v>
      </c>
      <c r="L541" s="3">
        <v>8966074</v>
      </c>
      <c r="M541" s="3">
        <v>8958310.1312199999</v>
      </c>
      <c r="N541" s="3">
        <v>8958310.1312199999</v>
      </c>
      <c r="O541" s="6"/>
      <c r="P541" t="s">
        <v>196</v>
      </c>
      <c r="Q541" s="3">
        <v>4</v>
      </c>
      <c r="R541" s="5">
        <v>1.1110999999999999E-2</v>
      </c>
      <c r="S541" s="6" t="s">
        <v>143</v>
      </c>
      <c r="T541" t="s">
        <v>21</v>
      </c>
    </row>
    <row r="542" spans="1:20" x14ac:dyDescent="0.25">
      <c r="A542" t="s">
        <v>32</v>
      </c>
      <c r="B542" t="s">
        <v>112</v>
      </c>
      <c r="C542" t="s">
        <v>113</v>
      </c>
      <c r="D542" t="s">
        <v>114</v>
      </c>
      <c r="E542" t="s">
        <v>22</v>
      </c>
      <c r="F542" t="s">
        <v>19</v>
      </c>
      <c r="G542" s="2">
        <v>46043</v>
      </c>
      <c r="H542" s="2">
        <v>46146</v>
      </c>
      <c r="I542" s="3">
        <v>3071604</v>
      </c>
      <c r="J542" t="s">
        <v>20</v>
      </c>
      <c r="K542" s="1">
        <v>46142</v>
      </c>
      <c r="L542" s="3">
        <v>3111535</v>
      </c>
      <c r="M542" s="3">
        <v>3108840.671418</v>
      </c>
      <c r="N542" s="3">
        <v>3108840.671418</v>
      </c>
      <c r="O542" s="6"/>
      <c r="P542" t="s">
        <v>196</v>
      </c>
      <c r="Q542" s="3">
        <v>4</v>
      </c>
      <c r="R542" s="5">
        <v>1.1110999999999999E-2</v>
      </c>
      <c r="S542" s="6" t="s">
        <v>143</v>
      </c>
      <c r="T542" t="s">
        <v>21</v>
      </c>
    </row>
    <row r="543" spans="1:20" x14ac:dyDescent="0.25">
      <c r="A543" t="s">
        <v>32</v>
      </c>
      <c r="B543" t="s">
        <v>112</v>
      </c>
      <c r="C543" t="s">
        <v>113</v>
      </c>
      <c r="D543" t="s">
        <v>114</v>
      </c>
      <c r="E543" t="s">
        <v>1337</v>
      </c>
      <c r="F543" t="s">
        <v>19</v>
      </c>
      <c r="G543" s="2">
        <v>46139</v>
      </c>
      <c r="H543" s="2">
        <v>46238</v>
      </c>
      <c r="I543" s="3">
        <v>3092824</v>
      </c>
      <c r="J543" t="s">
        <v>20</v>
      </c>
      <c r="K543" s="1">
        <v>46142</v>
      </c>
      <c r="L543" s="3">
        <v>3157124</v>
      </c>
      <c r="M543" s="3">
        <v>3094734.1593479998</v>
      </c>
      <c r="N543" s="3">
        <v>3094734.1593479998</v>
      </c>
      <c r="O543" s="6" t="s">
        <v>140</v>
      </c>
      <c r="P543" t="s">
        <v>201</v>
      </c>
      <c r="Q543" s="3">
        <v>96</v>
      </c>
      <c r="R543" s="5">
        <v>0.26666600000000001</v>
      </c>
      <c r="S543" s="6" t="s">
        <v>141</v>
      </c>
      <c r="T543" t="s">
        <v>21</v>
      </c>
    </row>
    <row r="544" spans="1:20" x14ac:dyDescent="0.25">
      <c r="A544" t="s">
        <v>32</v>
      </c>
      <c r="B544" t="s">
        <v>112</v>
      </c>
      <c r="C544" t="s">
        <v>113</v>
      </c>
      <c r="D544" t="s">
        <v>114</v>
      </c>
      <c r="E544" t="s">
        <v>1337</v>
      </c>
      <c r="F544" t="s">
        <v>19</v>
      </c>
      <c r="G544" s="2">
        <v>46139</v>
      </c>
      <c r="H544" s="2">
        <v>46238</v>
      </c>
      <c r="I544" s="3">
        <v>13405245</v>
      </c>
      <c r="J544" t="s">
        <v>20</v>
      </c>
      <c r="K544" s="1">
        <v>46142</v>
      </c>
      <c r="L544" s="3">
        <v>13683940</v>
      </c>
      <c r="M544" s="3">
        <v>13413523.368883001</v>
      </c>
      <c r="N544" s="3">
        <v>13413523.368883001</v>
      </c>
      <c r="O544" s="6" t="s">
        <v>140</v>
      </c>
      <c r="P544" t="s">
        <v>201</v>
      </c>
      <c r="Q544" s="3">
        <v>96</v>
      </c>
      <c r="R544" s="5">
        <v>0.26666600000000001</v>
      </c>
      <c r="S544" s="6" t="s">
        <v>141</v>
      </c>
      <c r="T544" t="s">
        <v>21</v>
      </c>
    </row>
    <row r="545" spans="1:20" x14ac:dyDescent="0.25">
      <c r="A545" t="s">
        <v>32</v>
      </c>
      <c r="B545" t="s">
        <v>112</v>
      </c>
      <c r="C545" t="s">
        <v>113</v>
      </c>
      <c r="D545" t="s">
        <v>114</v>
      </c>
      <c r="E545" t="s">
        <v>1337</v>
      </c>
      <c r="F545" t="s">
        <v>19</v>
      </c>
      <c r="G545" s="2">
        <v>46139</v>
      </c>
      <c r="H545" s="2">
        <v>46238</v>
      </c>
      <c r="I545" s="3">
        <v>329390506</v>
      </c>
      <c r="J545" t="s">
        <v>20</v>
      </c>
      <c r="K545" s="1">
        <v>46142</v>
      </c>
      <c r="L545" s="3">
        <v>336238535</v>
      </c>
      <c r="M545" s="3">
        <v>329593921.54171902</v>
      </c>
      <c r="N545" s="3">
        <v>329593921.54171902</v>
      </c>
      <c r="O545" s="6" t="s">
        <v>140</v>
      </c>
      <c r="P545" t="s">
        <v>201</v>
      </c>
      <c r="Q545" s="3">
        <v>96</v>
      </c>
      <c r="R545" s="5">
        <v>0.26666600000000001</v>
      </c>
      <c r="S545" s="6" t="s">
        <v>141</v>
      </c>
      <c r="T545" t="s">
        <v>21</v>
      </c>
    </row>
    <row r="546" spans="1:20" x14ac:dyDescent="0.25">
      <c r="A546" t="s">
        <v>32</v>
      </c>
      <c r="B546" t="s">
        <v>112</v>
      </c>
      <c r="C546" t="s">
        <v>113</v>
      </c>
      <c r="D546" t="s">
        <v>114</v>
      </c>
      <c r="E546" t="s">
        <v>61</v>
      </c>
      <c r="F546" t="s">
        <v>19</v>
      </c>
      <c r="G546" s="2">
        <v>46049</v>
      </c>
      <c r="H546" s="2">
        <v>46150</v>
      </c>
      <c r="I546" s="3">
        <v>9748462</v>
      </c>
      <c r="J546" t="s">
        <v>20</v>
      </c>
      <c r="K546" s="1">
        <v>46142</v>
      </c>
      <c r="L546" s="3">
        <v>9883641</v>
      </c>
      <c r="M546" s="3">
        <v>9866538.9990679994</v>
      </c>
      <c r="N546" s="3">
        <v>9866538.9990679994</v>
      </c>
      <c r="O546" s="6" t="s">
        <v>521</v>
      </c>
      <c r="P546" t="s">
        <v>196</v>
      </c>
      <c r="Q546" s="3">
        <v>8</v>
      </c>
      <c r="R546" s="5">
        <v>2.2221999999999999E-2</v>
      </c>
      <c r="S546" s="6" t="s">
        <v>143</v>
      </c>
      <c r="T546" t="s">
        <v>21</v>
      </c>
    </row>
    <row r="547" spans="1:20" x14ac:dyDescent="0.25">
      <c r="A547" t="s">
        <v>32</v>
      </c>
      <c r="B547" t="s">
        <v>112</v>
      </c>
      <c r="C547" t="s">
        <v>113</v>
      </c>
      <c r="D547" t="s">
        <v>114</v>
      </c>
      <c r="E547" t="s">
        <v>1295</v>
      </c>
      <c r="F547" t="s">
        <v>19</v>
      </c>
      <c r="G547" s="2">
        <v>46085</v>
      </c>
      <c r="H547" s="2">
        <v>46181</v>
      </c>
      <c r="I547" s="3">
        <v>18216049</v>
      </c>
      <c r="J547" t="s">
        <v>20</v>
      </c>
      <c r="K547" s="1">
        <v>46142</v>
      </c>
      <c r="L547" s="3">
        <v>18506777</v>
      </c>
      <c r="M547" s="3">
        <v>18356437.774626002</v>
      </c>
      <c r="N547" s="3">
        <v>18356437.774626002</v>
      </c>
      <c r="O547" s="6" t="s">
        <v>278</v>
      </c>
      <c r="P547" t="s">
        <v>196</v>
      </c>
      <c r="Q547" s="3">
        <v>39</v>
      </c>
      <c r="R547" s="5">
        <v>0.108333</v>
      </c>
      <c r="S547" s="6" t="s">
        <v>145</v>
      </c>
      <c r="T547" t="s">
        <v>21</v>
      </c>
    </row>
    <row r="548" spans="1:20" x14ac:dyDescent="0.25">
      <c r="A548" t="s">
        <v>32</v>
      </c>
      <c r="B548" t="s">
        <v>112</v>
      </c>
      <c r="C548" t="s">
        <v>113</v>
      </c>
      <c r="D548" t="s">
        <v>114</v>
      </c>
      <c r="E548" t="s">
        <v>1343</v>
      </c>
      <c r="F548" t="s">
        <v>19</v>
      </c>
      <c r="G548" s="2">
        <v>46126</v>
      </c>
      <c r="H548" s="2">
        <v>46225</v>
      </c>
      <c r="I548" s="3">
        <v>21248631</v>
      </c>
      <c r="J548" t="s">
        <v>20</v>
      </c>
      <c r="K548" s="1">
        <v>46142</v>
      </c>
      <c r="L548" s="3">
        <v>21690390</v>
      </c>
      <c r="M548" s="3">
        <v>21318803.259192001</v>
      </c>
      <c r="N548" s="3">
        <v>21318803.259192001</v>
      </c>
      <c r="O548" s="6" t="s">
        <v>521</v>
      </c>
      <c r="P548" t="s">
        <v>196</v>
      </c>
      <c r="Q548" s="3">
        <v>83</v>
      </c>
      <c r="R548" s="5">
        <v>0.23055500000000001</v>
      </c>
      <c r="S548" s="6" t="s">
        <v>145</v>
      </c>
      <c r="T548" t="s">
        <v>21</v>
      </c>
    </row>
    <row r="549" spans="1:20" x14ac:dyDescent="0.25">
      <c r="A549" t="s">
        <v>32</v>
      </c>
      <c r="B549" t="s">
        <v>112</v>
      </c>
      <c r="C549" t="s">
        <v>113</v>
      </c>
      <c r="D549" t="s">
        <v>114</v>
      </c>
      <c r="E549" t="s">
        <v>39</v>
      </c>
      <c r="F549" t="s">
        <v>19</v>
      </c>
      <c r="G549" s="2">
        <v>46063</v>
      </c>
      <c r="H549" s="2">
        <v>46167</v>
      </c>
      <c r="I549" s="3">
        <v>18164028</v>
      </c>
      <c r="J549" t="s">
        <v>20</v>
      </c>
      <c r="K549" s="1">
        <v>46142</v>
      </c>
      <c r="L549" s="3">
        <v>18482807</v>
      </c>
      <c r="M549" s="3">
        <v>18383231.164524999</v>
      </c>
      <c r="N549" s="3">
        <v>18383231.164524999</v>
      </c>
      <c r="O549" s="6" t="s">
        <v>150</v>
      </c>
      <c r="P549" t="s">
        <v>196</v>
      </c>
      <c r="Q549" s="3">
        <v>25</v>
      </c>
      <c r="R549" s="5">
        <v>6.9444000000000006E-2</v>
      </c>
      <c r="S549" s="6" t="s">
        <v>143</v>
      </c>
      <c r="T549" t="s">
        <v>21</v>
      </c>
    </row>
    <row r="550" spans="1:20" x14ac:dyDescent="0.25">
      <c r="A550" t="s">
        <v>32</v>
      </c>
      <c r="B550" t="s">
        <v>112</v>
      </c>
      <c r="C550" t="s">
        <v>113</v>
      </c>
      <c r="D550" t="s">
        <v>114</v>
      </c>
      <c r="E550" t="s">
        <v>29</v>
      </c>
      <c r="F550" t="s">
        <v>19</v>
      </c>
      <c r="G550" s="2">
        <v>46080</v>
      </c>
      <c r="H550" s="2">
        <v>46171</v>
      </c>
      <c r="I550" s="3">
        <v>15493485</v>
      </c>
      <c r="J550" t="s">
        <v>20</v>
      </c>
      <c r="K550" s="1">
        <v>46142</v>
      </c>
      <c r="L550" s="3">
        <v>15778823</v>
      </c>
      <c r="M550" s="3">
        <v>15680298.458022</v>
      </c>
      <c r="N550" s="3">
        <v>15680298.458022</v>
      </c>
      <c r="O550" s="6" t="s">
        <v>140</v>
      </c>
      <c r="P550" t="s">
        <v>201</v>
      </c>
      <c r="Q550" s="3">
        <v>29</v>
      </c>
      <c r="R550" s="5">
        <v>8.0555000000000002E-2</v>
      </c>
      <c r="S550" s="6" t="s">
        <v>143</v>
      </c>
      <c r="T550" t="s">
        <v>21</v>
      </c>
    </row>
    <row r="551" spans="1:20" x14ac:dyDescent="0.25">
      <c r="A551" t="s">
        <v>32</v>
      </c>
      <c r="B551" t="s">
        <v>112</v>
      </c>
      <c r="C551" t="s">
        <v>113</v>
      </c>
      <c r="D551" t="s">
        <v>114</v>
      </c>
      <c r="E551" t="s">
        <v>29</v>
      </c>
      <c r="F551" t="s">
        <v>19</v>
      </c>
      <c r="G551" s="2">
        <v>46080</v>
      </c>
      <c r="H551" s="2">
        <v>46171</v>
      </c>
      <c r="I551" s="3">
        <v>46976</v>
      </c>
      <c r="J551" t="s">
        <v>20</v>
      </c>
      <c r="K551" s="1">
        <v>46142</v>
      </c>
      <c r="L551" s="3">
        <v>47841</v>
      </c>
      <c r="M551" s="3">
        <v>47542.276032000002</v>
      </c>
      <c r="N551" s="3">
        <v>47542.276032000002</v>
      </c>
      <c r="O551" s="6" t="s">
        <v>140</v>
      </c>
      <c r="P551" t="s">
        <v>201</v>
      </c>
      <c r="Q551" s="3">
        <v>29</v>
      </c>
      <c r="R551" s="5">
        <v>8.0555000000000002E-2</v>
      </c>
      <c r="S551" s="6" t="s">
        <v>143</v>
      </c>
      <c r="T551" t="s">
        <v>21</v>
      </c>
    </row>
    <row r="552" spans="1:20" x14ac:dyDescent="0.25">
      <c r="A552" t="s">
        <v>32</v>
      </c>
      <c r="B552" t="s">
        <v>112</v>
      </c>
      <c r="C552" t="s">
        <v>113</v>
      </c>
      <c r="D552" t="s">
        <v>114</v>
      </c>
      <c r="E552" t="s">
        <v>43</v>
      </c>
      <c r="F552" t="s">
        <v>19</v>
      </c>
      <c r="G552" s="2">
        <v>46043</v>
      </c>
      <c r="H552" s="2">
        <v>46146</v>
      </c>
      <c r="I552" s="3">
        <v>4000000</v>
      </c>
      <c r="J552" t="s">
        <v>20</v>
      </c>
      <c r="K552" s="1">
        <v>46142</v>
      </c>
      <c r="L552" s="3">
        <v>4027720</v>
      </c>
      <c r="M552" s="3">
        <v>4024339.5547739998</v>
      </c>
      <c r="N552" s="3">
        <v>4024339.5547739998</v>
      </c>
      <c r="O552" s="6"/>
      <c r="P552" t="s">
        <v>196</v>
      </c>
      <c r="Q552" s="3">
        <v>4</v>
      </c>
      <c r="R552" s="5">
        <v>1.1110999999999999E-2</v>
      </c>
      <c r="S552" s="6" t="s">
        <v>143</v>
      </c>
      <c r="T552" t="s">
        <v>21</v>
      </c>
    </row>
    <row r="553" spans="1:20" x14ac:dyDescent="0.25">
      <c r="A553" t="s">
        <v>32</v>
      </c>
      <c r="B553" t="s">
        <v>112</v>
      </c>
      <c r="C553" t="s">
        <v>113</v>
      </c>
      <c r="D553" t="s">
        <v>114</v>
      </c>
      <c r="E553" t="s">
        <v>1334</v>
      </c>
      <c r="F553" t="s">
        <v>19</v>
      </c>
      <c r="G553" s="2">
        <v>46140</v>
      </c>
      <c r="H553" s="2">
        <v>46239</v>
      </c>
      <c r="I553" s="3">
        <v>5033600</v>
      </c>
      <c r="J553" t="s">
        <v>20</v>
      </c>
      <c r="K553" s="1">
        <v>46142</v>
      </c>
      <c r="L553" s="3">
        <v>5138249</v>
      </c>
      <c r="M553" s="3">
        <v>5035672.354146</v>
      </c>
      <c r="N553" s="3">
        <v>5035672.354146</v>
      </c>
      <c r="O553" s="6" t="s">
        <v>164</v>
      </c>
      <c r="P553" t="s">
        <v>196</v>
      </c>
      <c r="Q553" s="3">
        <v>97</v>
      </c>
      <c r="R553" s="5">
        <v>0.26944400000000002</v>
      </c>
      <c r="S553" s="6" t="s">
        <v>141</v>
      </c>
      <c r="T553" t="s">
        <v>21</v>
      </c>
    </row>
    <row r="554" spans="1:20" x14ac:dyDescent="0.25">
      <c r="A554" t="s">
        <v>32</v>
      </c>
      <c r="B554" t="s">
        <v>112</v>
      </c>
      <c r="C554" t="s">
        <v>113</v>
      </c>
      <c r="D554" t="s">
        <v>114</v>
      </c>
      <c r="E554" t="s">
        <v>1321</v>
      </c>
      <c r="F554" t="s">
        <v>19</v>
      </c>
      <c r="G554" s="2">
        <v>46108</v>
      </c>
      <c r="H554" s="2">
        <v>46209</v>
      </c>
      <c r="I554" s="3">
        <v>8657504</v>
      </c>
      <c r="J554" t="s">
        <v>20</v>
      </c>
      <c r="K554" s="1">
        <v>46142</v>
      </c>
      <c r="L554" s="3">
        <v>8841130</v>
      </c>
      <c r="M554" s="3">
        <v>8718461.2502100002</v>
      </c>
      <c r="N554" s="3">
        <v>8718461.2502100002</v>
      </c>
      <c r="O554" s="6" t="s">
        <v>158</v>
      </c>
      <c r="P554" t="s">
        <v>201</v>
      </c>
      <c r="Q554" s="3">
        <v>67</v>
      </c>
      <c r="R554" s="5">
        <v>0.186111</v>
      </c>
      <c r="S554" s="6" t="s">
        <v>145</v>
      </c>
      <c r="T554" t="s">
        <v>21</v>
      </c>
    </row>
    <row r="555" spans="1:20" x14ac:dyDescent="0.25">
      <c r="A555" t="s">
        <v>32</v>
      </c>
      <c r="B555" t="s">
        <v>112</v>
      </c>
      <c r="C555" t="s">
        <v>113</v>
      </c>
      <c r="D555" t="s">
        <v>114</v>
      </c>
      <c r="E555" t="s">
        <v>118</v>
      </c>
      <c r="F555" t="s">
        <v>19</v>
      </c>
      <c r="G555" s="2">
        <v>46062</v>
      </c>
      <c r="H555" s="2">
        <v>46164</v>
      </c>
      <c r="I555" s="3">
        <v>5084983</v>
      </c>
      <c r="J555" t="s">
        <v>20</v>
      </c>
      <c r="K555" s="1">
        <v>46142</v>
      </c>
      <c r="L555" s="3">
        <v>5146918</v>
      </c>
      <c r="M555" s="3">
        <v>5123248.5915069999</v>
      </c>
      <c r="N555" s="3">
        <v>5123248.5915069999</v>
      </c>
      <c r="O555" s="6" t="s">
        <v>183</v>
      </c>
      <c r="P555" t="s">
        <v>300</v>
      </c>
      <c r="Q555" s="3">
        <v>22</v>
      </c>
      <c r="R555" s="5">
        <v>6.1110999999999999E-2</v>
      </c>
      <c r="S555" s="6" t="s">
        <v>143</v>
      </c>
      <c r="T555" t="s">
        <v>21</v>
      </c>
    </row>
    <row r="556" spans="1:20" x14ac:dyDescent="0.25">
      <c r="A556" t="s">
        <v>32</v>
      </c>
      <c r="B556" t="s">
        <v>112</v>
      </c>
      <c r="C556" t="s">
        <v>113</v>
      </c>
      <c r="D556" t="s">
        <v>114</v>
      </c>
      <c r="E556" t="s">
        <v>1357</v>
      </c>
      <c r="F556" t="s">
        <v>19</v>
      </c>
      <c r="G556" s="2">
        <v>46128</v>
      </c>
      <c r="H556" s="2">
        <v>46227</v>
      </c>
      <c r="I556" s="3">
        <v>10214819</v>
      </c>
      <c r="J556" t="s">
        <v>20</v>
      </c>
      <c r="K556" s="1">
        <v>46142</v>
      </c>
      <c r="L556" s="3">
        <v>10412169</v>
      </c>
      <c r="M556" s="3">
        <v>10229571.154885</v>
      </c>
      <c r="N556" s="3">
        <v>10229571.154885</v>
      </c>
      <c r="O556" s="6"/>
      <c r="P556" t="s">
        <v>196</v>
      </c>
      <c r="Q556" s="3">
        <v>85</v>
      </c>
      <c r="R556" s="5">
        <v>0.23611099999999999</v>
      </c>
      <c r="S556" s="6" t="s">
        <v>145</v>
      </c>
      <c r="T556" t="s">
        <v>21</v>
      </c>
    </row>
    <row r="557" spans="1:20" x14ac:dyDescent="0.25">
      <c r="A557" t="s">
        <v>32</v>
      </c>
      <c r="B557" t="s">
        <v>115</v>
      </c>
      <c r="C557" t="s">
        <v>116</v>
      </c>
      <c r="D557" t="s">
        <v>117</v>
      </c>
      <c r="E557" t="s">
        <v>1290</v>
      </c>
      <c r="F557" t="s">
        <v>19</v>
      </c>
      <c r="G557" s="2">
        <v>46106</v>
      </c>
      <c r="H557" s="2">
        <v>46205</v>
      </c>
      <c r="I557" s="3">
        <v>38089226</v>
      </c>
      <c r="J557" t="s">
        <v>20</v>
      </c>
      <c r="K557" s="1">
        <v>46142</v>
      </c>
      <c r="L557" s="3">
        <v>38881101</v>
      </c>
      <c r="M557" s="3">
        <v>38373420.644868001</v>
      </c>
      <c r="N557" s="3">
        <v>38373420.644868001</v>
      </c>
      <c r="O557" s="6" t="s">
        <v>321</v>
      </c>
      <c r="P557" t="s">
        <v>196</v>
      </c>
      <c r="Q557" s="3">
        <v>63</v>
      </c>
      <c r="R557" s="5">
        <v>0.17499999999999999</v>
      </c>
      <c r="S557" s="6" t="s">
        <v>145</v>
      </c>
      <c r="T557" t="s">
        <v>21</v>
      </c>
    </row>
    <row r="558" spans="1:20" x14ac:dyDescent="0.25">
      <c r="A558" t="s">
        <v>32</v>
      </c>
      <c r="B558" t="s">
        <v>115</v>
      </c>
      <c r="C558" t="s">
        <v>116</v>
      </c>
      <c r="D558" t="s">
        <v>117</v>
      </c>
      <c r="E558" t="s">
        <v>22</v>
      </c>
      <c r="F558" t="s">
        <v>19</v>
      </c>
      <c r="G558" s="2">
        <v>46043</v>
      </c>
      <c r="H558" s="2">
        <v>46146</v>
      </c>
      <c r="I558" s="3">
        <v>34131217</v>
      </c>
      <c r="J558" t="s">
        <v>20</v>
      </c>
      <c r="K558" s="1">
        <v>46142</v>
      </c>
      <c r="L558" s="3">
        <v>34274568</v>
      </c>
      <c r="M558" s="3">
        <v>34245801.526717998</v>
      </c>
      <c r="N558" s="3">
        <v>34245801.526717998</v>
      </c>
      <c r="O558" s="6"/>
      <c r="P558" t="s">
        <v>196</v>
      </c>
      <c r="Q558" s="3">
        <v>4</v>
      </c>
      <c r="R558" s="5">
        <v>1.1110999999999999E-2</v>
      </c>
      <c r="S558" s="6" t="s">
        <v>143</v>
      </c>
      <c r="T558" t="s">
        <v>21</v>
      </c>
    </row>
    <row r="559" spans="1:20" x14ac:dyDescent="0.25">
      <c r="A559" t="s">
        <v>32</v>
      </c>
      <c r="B559" t="s">
        <v>115</v>
      </c>
      <c r="C559" t="s">
        <v>116</v>
      </c>
      <c r="D559" t="s">
        <v>117</v>
      </c>
      <c r="E559" t="s">
        <v>22</v>
      </c>
      <c r="F559" t="s">
        <v>19</v>
      </c>
      <c r="G559" s="2">
        <v>46043</v>
      </c>
      <c r="H559" s="2">
        <v>46146</v>
      </c>
      <c r="I559" s="3">
        <v>26379434</v>
      </c>
      <c r="J559" t="s">
        <v>20</v>
      </c>
      <c r="K559" s="1">
        <v>46142</v>
      </c>
      <c r="L559" s="3">
        <v>26606561</v>
      </c>
      <c r="M559" s="3">
        <v>26584230.246592999</v>
      </c>
      <c r="N559" s="3">
        <v>26584230.246592999</v>
      </c>
      <c r="O559" s="6"/>
      <c r="P559" t="s">
        <v>196</v>
      </c>
      <c r="Q559" s="3">
        <v>4</v>
      </c>
      <c r="R559" s="5">
        <v>1.1110999999999999E-2</v>
      </c>
      <c r="S559" s="6" t="s">
        <v>143</v>
      </c>
      <c r="T559" t="s">
        <v>21</v>
      </c>
    </row>
    <row r="560" spans="1:20" x14ac:dyDescent="0.25">
      <c r="A560" t="s">
        <v>32</v>
      </c>
      <c r="B560" t="s">
        <v>115</v>
      </c>
      <c r="C560" t="s">
        <v>116</v>
      </c>
      <c r="D560" t="s">
        <v>117</v>
      </c>
      <c r="E560" t="s">
        <v>61</v>
      </c>
      <c r="F560" t="s">
        <v>19</v>
      </c>
      <c r="G560" s="2">
        <v>46049</v>
      </c>
      <c r="H560" s="2">
        <v>46150</v>
      </c>
      <c r="I560" s="3">
        <v>159059440</v>
      </c>
      <c r="J560" t="s">
        <v>20</v>
      </c>
      <c r="K560" s="1">
        <v>46142</v>
      </c>
      <c r="L560" s="3">
        <v>159861100</v>
      </c>
      <c r="M560" s="3">
        <v>159592983.78723699</v>
      </c>
      <c r="N560" s="3">
        <v>159592983.78723699</v>
      </c>
      <c r="O560" s="6" t="s">
        <v>521</v>
      </c>
      <c r="P560" t="s">
        <v>196</v>
      </c>
      <c r="Q560" s="3">
        <v>8</v>
      </c>
      <c r="R560" s="5">
        <v>2.2221999999999999E-2</v>
      </c>
      <c r="S560" s="6" t="s">
        <v>143</v>
      </c>
      <c r="T560" t="s">
        <v>21</v>
      </c>
    </row>
    <row r="561" spans="1:20" x14ac:dyDescent="0.25">
      <c r="A561" t="s">
        <v>32</v>
      </c>
      <c r="B561" t="s">
        <v>115</v>
      </c>
      <c r="C561" t="s">
        <v>116</v>
      </c>
      <c r="D561" t="s">
        <v>117</v>
      </c>
      <c r="E561" t="s">
        <v>1295</v>
      </c>
      <c r="F561" t="s">
        <v>19</v>
      </c>
      <c r="G561" s="2">
        <v>46085</v>
      </c>
      <c r="H561" s="2">
        <v>46181</v>
      </c>
      <c r="I561" s="3">
        <v>26945866</v>
      </c>
      <c r="J561" t="s">
        <v>20</v>
      </c>
      <c r="K561" s="1">
        <v>46142</v>
      </c>
      <c r="L561" s="3">
        <v>27257091</v>
      </c>
      <c r="M561" s="3">
        <v>27035668.871939</v>
      </c>
      <c r="N561" s="3">
        <v>27035668.871939</v>
      </c>
      <c r="O561" s="6" t="s">
        <v>278</v>
      </c>
      <c r="P561" t="s">
        <v>196</v>
      </c>
      <c r="Q561" s="3">
        <v>39</v>
      </c>
      <c r="R561" s="5">
        <v>0.108333</v>
      </c>
      <c r="S561" s="6" t="s">
        <v>145</v>
      </c>
      <c r="T561" t="s">
        <v>21</v>
      </c>
    </row>
    <row r="562" spans="1:20" x14ac:dyDescent="0.25">
      <c r="A562" t="s">
        <v>32</v>
      </c>
      <c r="B562" t="s">
        <v>115</v>
      </c>
      <c r="C562" t="s">
        <v>116</v>
      </c>
      <c r="D562" t="s">
        <v>117</v>
      </c>
      <c r="E562" t="s">
        <v>37</v>
      </c>
      <c r="F562" t="s">
        <v>19</v>
      </c>
      <c r="G562" s="2">
        <v>46050</v>
      </c>
      <c r="H562" s="2">
        <v>46153</v>
      </c>
      <c r="I562" s="3">
        <v>13388426</v>
      </c>
      <c r="J562" t="s">
        <v>20</v>
      </c>
      <c r="K562" s="1">
        <v>46142</v>
      </c>
      <c r="L562" s="3">
        <v>13682793</v>
      </c>
      <c r="M562" s="3">
        <v>13648762.086531</v>
      </c>
      <c r="N562" s="3">
        <v>13648762.086531</v>
      </c>
      <c r="O562" s="6" t="s">
        <v>153</v>
      </c>
      <c r="P562" t="s">
        <v>196</v>
      </c>
      <c r="Q562" s="3">
        <v>11</v>
      </c>
      <c r="R562" s="5">
        <v>3.0554999999999999E-2</v>
      </c>
      <c r="S562" s="6" t="s">
        <v>143</v>
      </c>
      <c r="T562" t="s">
        <v>21</v>
      </c>
    </row>
    <row r="563" spans="1:20" x14ac:dyDescent="0.25">
      <c r="A563" t="s">
        <v>32</v>
      </c>
      <c r="B563" t="s">
        <v>115</v>
      </c>
      <c r="C563" t="s">
        <v>116</v>
      </c>
      <c r="D563" t="s">
        <v>117</v>
      </c>
      <c r="E563" t="s">
        <v>37</v>
      </c>
      <c r="F563" t="s">
        <v>19</v>
      </c>
      <c r="G563" s="2">
        <v>46050</v>
      </c>
      <c r="H563" s="2">
        <v>46153</v>
      </c>
      <c r="I563" s="3">
        <v>2003627</v>
      </c>
      <c r="J563" t="s">
        <v>20</v>
      </c>
      <c r="K563" s="1">
        <v>46142</v>
      </c>
      <c r="L563" s="3">
        <v>2050405</v>
      </c>
      <c r="M563" s="3">
        <v>2045305.371939</v>
      </c>
      <c r="N563" s="3">
        <v>2045305.371939</v>
      </c>
      <c r="O563" s="6" t="s">
        <v>153</v>
      </c>
      <c r="P563" t="s">
        <v>196</v>
      </c>
      <c r="Q563" s="3">
        <v>11</v>
      </c>
      <c r="R563" s="5">
        <v>3.0554999999999999E-2</v>
      </c>
      <c r="S563" s="6" t="s">
        <v>143</v>
      </c>
      <c r="T563" t="s">
        <v>21</v>
      </c>
    </row>
    <row r="564" spans="1:20" x14ac:dyDescent="0.25">
      <c r="A564" t="s">
        <v>32</v>
      </c>
      <c r="B564" t="s">
        <v>115</v>
      </c>
      <c r="C564" t="s">
        <v>116</v>
      </c>
      <c r="D564" t="s">
        <v>117</v>
      </c>
      <c r="E564" t="s">
        <v>24</v>
      </c>
      <c r="F564" t="s">
        <v>19</v>
      </c>
      <c r="G564" s="2">
        <v>46051</v>
      </c>
      <c r="H564" s="2">
        <v>46155</v>
      </c>
      <c r="I564" s="3">
        <v>244267810</v>
      </c>
      <c r="J564" t="s">
        <v>20</v>
      </c>
      <c r="K564" s="1">
        <v>46142</v>
      </c>
      <c r="L564" s="3">
        <v>245755401</v>
      </c>
      <c r="M564" s="3">
        <v>245086315.35907</v>
      </c>
      <c r="N564" s="3">
        <v>245086315.35907</v>
      </c>
      <c r="O564" s="6" t="s">
        <v>452</v>
      </c>
      <c r="P564" t="s">
        <v>196</v>
      </c>
      <c r="Q564" s="3">
        <v>13</v>
      </c>
      <c r="R564" s="5">
        <v>3.6110999999999997E-2</v>
      </c>
      <c r="S564" s="6" t="s">
        <v>143</v>
      </c>
      <c r="T564" t="s">
        <v>21</v>
      </c>
    </row>
    <row r="565" spans="1:20" x14ac:dyDescent="0.25">
      <c r="A565" t="s">
        <v>32</v>
      </c>
      <c r="B565" t="s">
        <v>115</v>
      </c>
      <c r="C565" t="s">
        <v>116</v>
      </c>
      <c r="D565" t="s">
        <v>117</v>
      </c>
      <c r="E565" t="s">
        <v>25</v>
      </c>
      <c r="F565" t="s">
        <v>19</v>
      </c>
      <c r="G565" s="2">
        <v>46051</v>
      </c>
      <c r="H565" s="2">
        <v>46156</v>
      </c>
      <c r="I565" s="3">
        <v>12920983</v>
      </c>
      <c r="J565" t="s">
        <v>20</v>
      </c>
      <c r="K565" s="1">
        <v>46142</v>
      </c>
      <c r="L565" s="3">
        <v>13228502</v>
      </c>
      <c r="M565" s="3">
        <v>13186656.343869001</v>
      </c>
      <c r="N565" s="3">
        <v>13186656.343869001</v>
      </c>
      <c r="O565" s="6" t="s">
        <v>452</v>
      </c>
      <c r="P565" t="s">
        <v>196</v>
      </c>
      <c r="Q565" s="3">
        <v>14</v>
      </c>
      <c r="R565" s="5">
        <v>3.8887999999999999E-2</v>
      </c>
      <c r="S565" s="6" t="s">
        <v>143</v>
      </c>
      <c r="T565" t="s">
        <v>21</v>
      </c>
    </row>
    <row r="566" spans="1:20" x14ac:dyDescent="0.25">
      <c r="A566" t="s">
        <v>32</v>
      </c>
      <c r="B566" t="s">
        <v>115</v>
      </c>
      <c r="C566" t="s">
        <v>116</v>
      </c>
      <c r="D566" t="s">
        <v>117</v>
      </c>
      <c r="E566" t="s">
        <v>26</v>
      </c>
      <c r="F566" t="s">
        <v>19</v>
      </c>
      <c r="G566" s="2">
        <v>46052</v>
      </c>
      <c r="H566" s="2">
        <v>46157</v>
      </c>
      <c r="I566" s="3">
        <v>11112916</v>
      </c>
      <c r="J566" t="s">
        <v>20</v>
      </c>
      <c r="K566" s="1">
        <v>46142</v>
      </c>
      <c r="L566" s="3">
        <v>11377403</v>
      </c>
      <c r="M566" s="3">
        <v>11338850.906916</v>
      </c>
      <c r="N566" s="3">
        <v>11338850.906916</v>
      </c>
      <c r="O566" s="6" t="s">
        <v>521</v>
      </c>
      <c r="P566" t="s">
        <v>196</v>
      </c>
      <c r="Q566" s="3">
        <v>15</v>
      </c>
      <c r="R566" s="5">
        <v>4.1666000000000002E-2</v>
      </c>
      <c r="S566" s="6" t="s">
        <v>143</v>
      </c>
      <c r="T566" t="s">
        <v>21</v>
      </c>
    </row>
    <row r="567" spans="1:20" x14ac:dyDescent="0.25">
      <c r="A567" t="s">
        <v>32</v>
      </c>
      <c r="B567" t="s">
        <v>115</v>
      </c>
      <c r="C567" t="s">
        <v>116</v>
      </c>
      <c r="D567" t="s">
        <v>117</v>
      </c>
      <c r="E567" t="s">
        <v>27</v>
      </c>
      <c r="F567" t="s">
        <v>19</v>
      </c>
      <c r="G567" s="2">
        <v>46052</v>
      </c>
      <c r="H567" s="2">
        <v>46160</v>
      </c>
      <c r="I567" s="3">
        <v>10840053</v>
      </c>
      <c r="J567" t="s">
        <v>20</v>
      </c>
      <c r="K567" s="1">
        <v>46142</v>
      </c>
      <c r="L567" s="3">
        <v>11088218</v>
      </c>
      <c r="M567" s="3">
        <v>11043161.89945</v>
      </c>
      <c r="N567" s="3">
        <v>11043161.89945</v>
      </c>
      <c r="O567" s="6" t="s">
        <v>452</v>
      </c>
      <c r="P567" t="s">
        <v>196</v>
      </c>
      <c r="Q567" s="3">
        <v>18</v>
      </c>
      <c r="R567" s="5">
        <v>0.05</v>
      </c>
      <c r="S567" s="6" t="s">
        <v>143</v>
      </c>
      <c r="T567" t="s">
        <v>21</v>
      </c>
    </row>
    <row r="568" spans="1:20" x14ac:dyDescent="0.25">
      <c r="A568" t="s">
        <v>32</v>
      </c>
      <c r="B568" t="s">
        <v>115</v>
      </c>
      <c r="C568" t="s">
        <v>116</v>
      </c>
      <c r="D568" t="s">
        <v>117</v>
      </c>
      <c r="E568" t="s">
        <v>1332</v>
      </c>
      <c r="F568" t="s">
        <v>19</v>
      </c>
      <c r="G568" s="2">
        <v>46125</v>
      </c>
      <c r="H568" s="2">
        <v>46224</v>
      </c>
      <c r="I568" s="3">
        <v>43879655</v>
      </c>
      <c r="J568" t="s">
        <v>20</v>
      </c>
      <c r="K568" s="1">
        <v>46142</v>
      </c>
      <c r="L568" s="3">
        <v>44791913</v>
      </c>
      <c r="M568" s="3">
        <v>44033653.486955002</v>
      </c>
      <c r="N568" s="3">
        <v>44033653.486955002</v>
      </c>
      <c r="O568" s="6" t="s">
        <v>373</v>
      </c>
      <c r="P568" t="s">
        <v>196</v>
      </c>
      <c r="Q568" s="3">
        <v>82</v>
      </c>
      <c r="R568" s="5">
        <v>0.22777700000000001</v>
      </c>
      <c r="S568" s="6" t="s">
        <v>145</v>
      </c>
      <c r="T568" t="s">
        <v>21</v>
      </c>
    </row>
    <row r="569" spans="1:20" x14ac:dyDescent="0.25">
      <c r="A569" t="s">
        <v>32</v>
      </c>
      <c r="B569" t="s">
        <v>115</v>
      </c>
      <c r="C569" t="s">
        <v>116</v>
      </c>
      <c r="D569" t="s">
        <v>117</v>
      </c>
      <c r="E569" t="s">
        <v>1344</v>
      </c>
      <c r="F569" t="s">
        <v>19</v>
      </c>
      <c r="G569" s="2">
        <v>46127</v>
      </c>
      <c r="H569" s="2">
        <v>46226</v>
      </c>
      <c r="I569" s="3">
        <v>11414886</v>
      </c>
      <c r="J569" t="s">
        <v>20</v>
      </c>
      <c r="K569" s="1">
        <v>46142</v>
      </c>
      <c r="L569" s="3">
        <v>11652201</v>
      </c>
      <c r="M569" s="3">
        <v>11450219.134468</v>
      </c>
      <c r="N569" s="3">
        <v>11450219.134468</v>
      </c>
      <c r="O569" s="6" t="s">
        <v>153</v>
      </c>
      <c r="P569" t="s">
        <v>196</v>
      </c>
      <c r="Q569" s="3">
        <v>84</v>
      </c>
      <c r="R569" s="5">
        <v>0.23333300000000001</v>
      </c>
      <c r="S569" s="6" t="s">
        <v>145</v>
      </c>
      <c r="T569" t="s">
        <v>21</v>
      </c>
    </row>
    <row r="570" spans="1:20" x14ac:dyDescent="0.25">
      <c r="A570" t="s">
        <v>32</v>
      </c>
      <c r="B570" t="s">
        <v>115</v>
      </c>
      <c r="C570" t="s">
        <v>116</v>
      </c>
      <c r="D570" t="s">
        <v>117</v>
      </c>
      <c r="E570" t="s">
        <v>1300</v>
      </c>
      <c r="F570" t="s">
        <v>19</v>
      </c>
      <c r="G570" s="2">
        <v>46100</v>
      </c>
      <c r="H570" s="2">
        <v>46198</v>
      </c>
      <c r="I570" s="3">
        <v>12093518</v>
      </c>
      <c r="J570" t="s">
        <v>20</v>
      </c>
      <c r="K570" s="1">
        <v>46142</v>
      </c>
      <c r="L570" s="3">
        <v>12342403</v>
      </c>
      <c r="M570" s="3">
        <v>12198943.425318001</v>
      </c>
      <c r="N570" s="3">
        <v>12198943.425318001</v>
      </c>
      <c r="O570" s="6" t="s">
        <v>251</v>
      </c>
      <c r="P570" t="s">
        <v>196</v>
      </c>
      <c r="Q570" s="3">
        <v>56</v>
      </c>
      <c r="R570" s="5">
        <v>0.155555</v>
      </c>
      <c r="S570" s="6" t="s">
        <v>145</v>
      </c>
      <c r="T570" t="s">
        <v>21</v>
      </c>
    </row>
    <row r="571" spans="1:20" x14ac:dyDescent="0.25">
      <c r="A571" t="s">
        <v>32</v>
      </c>
      <c r="B571" t="s">
        <v>115</v>
      </c>
      <c r="C571" t="s">
        <v>116</v>
      </c>
      <c r="D571" t="s">
        <v>117</v>
      </c>
      <c r="E571" t="s">
        <v>1301</v>
      </c>
      <c r="F571" t="s">
        <v>19</v>
      </c>
      <c r="G571" s="2">
        <v>46105</v>
      </c>
      <c r="H571" s="2">
        <v>46204</v>
      </c>
      <c r="I571" s="3">
        <v>86166965</v>
      </c>
      <c r="J571" t="s">
        <v>20</v>
      </c>
      <c r="K571" s="1">
        <v>46142</v>
      </c>
      <c r="L571" s="3">
        <v>87958376</v>
      </c>
      <c r="M571" s="3">
        <v>86827877.040926993</v>
      </c>
      <c r="N571" s="3">
        <v>86827877.040926993</v>
      </c>
      <c r="O571" s="6" t="s">
        <v>317</v>
      </c>
      <c r="P571" t="s">
        <v>201</v>
      </c>
      <c r="Q571" s="3">
        <v>62</v>
      </c>
      <c r="R571" s="5">
        <v>0.17222199999999999</v>
      </c>
      <c r="S571" s="6" t="s">
        <v>145</v>
      </c>
      <c r="T571" t="s">
        <v>21</v>
      </c>
    </row>
    <row r="572" spans="1:20" x14ac:dyDescent="0.25">
      <c r="A572" t="s">
        <v>32</v>
      </c>
      <c r="B572" t="s">
        <v>115</v>
      </c>
      <c r="C572" t="s">
        <v>116</v>
      </c>
      <c r="D572" t="s">
        <v>117</v>
      </c>
      <c r="E572" t="s">
        <v>43</v>
      </c>
      <c r="F572" t="s">
        <v>19</v>
      </c>
      <c r="G572" s="2">
        <v>46043</v>
      </c>
      <c r="H572" s="2">
        <v>46146</v>
      </c>
      <c r="I572" s="3">
        <v>34682453</v>
      </c>
      <c r="J572" t="s">
        <v>20</v>
      </c>
      <c r="K572" s="1">
        <v>46142</v>
      </c>
      <c r="L572" s="3">
        <v>34828119</v>
      </c>
      <c r="M572" s="3">
        <v>34798887.934134997</v>
      </c>
      <c r="N572" s="3">
        <v>34798887.934134997</v>
      </c>
      <c r="O572" s="6"/>
      <c r="P572" t="s">
        <v>196</v>
      </c>
      <c r="Q572" s="3">
        <v>4</v>
      </c>
      <c r="R572" s="5">
        <v>1.1110999999999999E-2</v>
      </c>
      <c r="S572" s="6" t="s">
        <v>143</v>
      </c>
      <c r="T572" t="s">
        <v>21</v>
      </c>
    </row>
    <row r="573" spans="1:20" x14ac:dyDescent="0.25">
      <c r="A573" t="s">
        <v>32</v>
      </c>
      <c r="B573" t="s">
        <v>115</v>
      </c>
      <c r="C573" t="s">
        <v>116</v>
      </c>
      <c r="D573" t="s">
        <v>117</v>
      </c>
      <c r="E573" t="s">
        <v>44</v>
      </c>
      <c r="F573" t="s">
        <v>19</v>
      </c>
      <c r="G573" s="2">
        <v>46048</v>
      </c>
      <c r="H573" s="2">
        <v>46147</v>
      </c>
      <c r="I573" s="3">
        <v>26550010</v>
      </c>
      <c r="J573" t="s">
        <v>20</v>
      </c>
      <c r="K573" s="1">
        <v>46142</v>
      </c>
      <c r="L573" s="3">
        <v>26667096</v>
      </c>
      <c r="M573" s="3">
        <v>26639124.918834999</v>
      </c>
      <c r="N573" s="3">
        <v>26639124.918834999</v>
      </c>
      <c r="O573" s="6"/>
      <c r="P573" t="s">
        <v>196</v>
      </c>
      <c r="Q573" s="3">
        <v>5</v>
      </c>
      <c r="R573" s="5">
        <v>1.3887999999999999E-2</v>
      </c>
      <c r="S573" s="6" t="s">
        <v>143</v>
      </c>
      <c r="T573" t="s">
        <v>21</v>
      </c>
    </row>
    <row r="574" spans="1:20" x14ac:dyDescent="0.25">
      <c r="A574" t="s">
        <v>32</v>
      </c>
      <c r="B574" t="s">
        <v>115</v>
      </c>
      <c r="C574" t="s">
        <v>116</v>
      </c>
      <c r="D574" t="s">
        <v>117</v>
      </c>
      <c r="E574" t="s">
        <v>44</v>
      </c>
      <c r="F574" t="s">
        <v>19</v>
      </c>
      <c r="G574" s="2">
        <v>46048</v>
      </c>
      <c r="H574" s="2">
        <v>46147</v>
      </c>
      <c r="I574" s="3">
        <v>39723942</v>
      </c>
      <c r="J574" t="s">
        <v>20</v>
      </c>
      <c r="K574" s="1">
        <v>46142</v>
      </c>
      <c r="L574" s="3">
        <v>39899125</v>
      </c>
      <c r="M574" s="3">
        <v>39857274.861396</v>
      </c>
      <c r="N574" s="3">
        <v>39857274.861396</v>
      </c>
      <c r="O574" s="6"/>
      <c r="P574" t="s">
        <v>196</v>
      </c>
      <c r="Q574" s="3">
        <v>5</v>
      </c>
      <c r="R574" s="5">
        <v>1.3887999999999999E-2</v>
      </c>
      <c r="S574" s="6" t="s">
        <v>143</v>
      </c>
      <c r="T574" t="s">
        <v>21</v>
      </c>
    </row>
    <row r="575" spans="1:20" x14ac:dyDescent="0.25">
      <c r="A575" t="s">
        <v>32</v>
      </c>
      <c r="B575" t="s">
        <v>115</v>
      </c>
      <c r="C575" t="s">
        <v>116</v>
      </c>
      <c r="D575" t="s">
        <v>117</v>
      </c>
      <c r="E575" t="s">
        <v>1361</v>
      </c>
      <c r="F575" t="s">
        <v>19</v>
      </c>
      <c r="G575" s="2">
        <v>46141</v>
      </c>
      <c r="H575" s="2">
        <v>46241</v>
      </c>
      <c r="I575" s="3">
        <v>21635795</v>
      </c>
      <c r="J575" t="s">
        <v>20</v>
      </c>
      <c r="K575" s="1">
        <v>46142</v>
      </c>
      <c r="L575" s="3">
        <v>22090147</v>
      </c>
      <c r="M575" s="3">
        <v>21640246.279842</v>
      </c>
      <c r="N575" s="3">
        <v>21640246.279842</v>
      </c>
      <c r="O575" s="6" t="s">
        <v>1362</v>
      </c>
      <c r="P575" t="s">
        <v>226</v>
      </c>
      <c r="Q575" s="3">
        <v>99</v>
      </c>
      <c r="R575" s="5">
        <v>0.27500000000000002</v>
      </c>
      <c r="S575" s="6" t="s">
        <v>141</v>
      </c>
      <c r="T575" t="s">
        <v>21</v>
      </c>
    </row>
    <row r="576" spans="1:20" x14ac:dyDescent="0.25">
      <c r="A576" t="s">
        <v>32</v>
      </c>
      <c r="B576" t="s">
        <v>115</v>
      </c>
      <c r="C576" t="s">
        <v>116</v>
      </c>
      <c r="D576" t="s">
        <v>117</v>
      </c>
      <c r="E576" t="s">
        <v>49</v>
      </c>
      <c r="F576" t="s">
        <v>19</v>
      </c>
      <c r="G576" s="2">
        <v>46052</v>
      </c>
      <c r="H576" s="2">
        <v>46160</v>
      </c>
      <c r="I576" s="3">
        <v>26307308</v>
      </c>
      <c r="J576" t="s">
        <v>20</v>
      </c>
      <c r="K576" s="1">
        <v>46142</v>
      </c>
      <c r="L576" s="3">
        <v>26495142</v>
      </c>
      <c r="M576" s="3">
        <v>26395367.510809001</v>
      </c>
      <c r="N576" s="3">
        <v>26395367.510809001</v>
      </c>
      <c r="O576" s="6" t="s">
        <v>1355</v>
      </c>
      <c r="P576" t="s">
        <v>1349</v>
      </c>
      <c r="Q576" s="3">
        <v>18</v>
      </c>
      <c r="R576" s="5">
        <v>0.05</v>
      </c>
      <c r="S576" s="6" t="s">
        <v>143</v>
      </c>
      <c r="T576" t="s">
        <v>21</v>
      </c>
    </row>
    <row r="577" spans="1:20" x14ac:dyDescent="0.25">
      <c r="A577" t="s">
        <v>32</v>
      </c>
      <c r="B577" t="s">
        <v>115</v>
      </c>
      <c r="C577" t="s">
        <v>116</v>
      </c>
      <c r="D577" t="s">
        <v>117</v>
      </c>
      <c r="E577" t="s">
        <v>1373</v>
      </c>
      <c r="F577" t="s">
        <v>19</v>
      </c>
      <c r="G577" s="2">
        <v>46122</v>
      </c>
      <c r="H577" s="2">
        <v>46223</v>
      </c>
      <c r="I577" s="3">
        <v>171105000</v>
      </c>
      <c r="J577" t="s">
        <v>20</v>
      </c>
      <c r="K577" s="1">
        <v>46142</v>
      </c>
      <c r="L577" s="3">
        <v>174734137</v>
      </c>
      <c r="M577" s="3">
        <v>171811621.32132399</v>
      </c>
      <c r="N577" s="3">
        <v>171811621.32132399</v>
      </c>
      <c r="O577" s="6" t="s">
        <v>1374</v>
      </c>
      <c r="P577" t="s">
        <v>196</v>
      </c>
      <c r="Q577" s="3">
        <v>81</v>
      </c>
      <c r="R577" s="5">
        <v>0.22500000000000001</v>
      </c>
      <c r="S577" s="6" t="s">
        <v>145</v>
      </c>
      <c r="T577" t="s">
        <v>21</v>
      </c>
    </row>
    <row r="578" spans="1:20" x14ac:dyDescent="0.25">
      <c r="A578" t="s">
        <v>32</v>
      </c>
      <c r="B578" t="s">
        <v>115</v>
      </c>
      <c r="C578" t="s">
        <v>116</v>
      </c>
      <c r="D578" t="s">
        <v>117</v>
      </c>
      <c r="E578" t="s">
        <v>118</v>
      </c>
      <c r="F578" t="s">
        <v>19</v>
      </c>
      <c r="G578" s="2">
        <v>46062</v>
      </c>
      <c r="H578" s="2">
        <v>46164</v>
      </c>
      <c r="I578" s="3">
        <v>12949097</v>
      </c>
      <c r="J578" t="s">
        <v>20</v>
      </c>
      <c r="K578" s="1">
        <v>46142</v>
      </c>
      <c r="L578" s="3">
        <v>13248480</v>
      </c>
      <c r="M578" s="3">
        <v>13182742.059596</v>
      </c>
      <c r="N578" s="3">
        <v>13182742.059596</v>
      </c>
      <c r="O578" s="6" t="s">
        <v>183</v>
      </c>
      <c r="P578" t="s">
        <v>300</v>
      </c>
      <c r="Q578" s="3">
        <v>22</v>
      </c>
      <c r="R578" s="5">
        <v>6.1110999999999999E-2</v>
      </c>
      <c r="S578" s="6" t="s">
        <v>143</v>
      </c>
      <c r="T578" t="s">
        <v>21</v>
      </c>
    </row>
    <row r="579" spans="1:20" x14ac:dyDescent="0.25">
      <c r="A579" t="s">
        <v>32</v>
      </c>
      <c r="B579" t="s">
        <v>115</v>
      </c>
      <c r="C579" t="s">
        <v>116</v>
      </c>
      <c r="D579" t="s">
        <v>117</v>
      </c>
      <c r="E579" t="s">
        <v>119</v>
      </c>
      <c r="F579" t="s">
        <v>52</v>
      </c>
      <c r="G579" s="2">
        <v>46063</v>
      </c>
      <c r="H579" s="2">
        <v>46168</v>
      </c>
      <c r="I579" s="3">
        <v>4780803</v>
      </c>
      <c r="J579" t="s">
        <v>53</v>
      </c>
      <c r="K579" s="1">
        <v>46142</v>
      </c>
      <c r="L579" s="3">
        <v>120.809</v>
      </c>
      <c r="M579" s="3">
        <v>120.721812</v>
      </c>
      <c r="N579" s="3">
        <v>4843383.2427909998</v>
      </c>
      <c r="O579" s="6" t="s">
        <v>184</v>
      </c>
      <c r="P579" t="s">
        <v>300</v>
      </c>
      <c r="Q579" s="3">
        <v>26</v>
      </c>
      <c r="R579" s="5">
        <v>7.2221999999999995E-2</v>
      </c>
      <c r="S579" s="6" t="s">
        <v>143</v>
      </c>
      <c r="T579" t="s">
        <v>21</v>
      </c>
    </row>
    <row r="580" spans="1:20" x14ac:dyDescent="0.25">
      <c r="A580" t="s">
        <v>15</v>
      </c>
      <c r="B580" t="s">
        <v>120</v>
      </c>
      <c r="C580" t="s">
        <v>121</v>
      </c>
      <c r="D580" t="s">
        <v>122</v>
      </c>
      <c r="E580" t="s">
        <v>31</v>
      </c>
      <c r="F580" t="s">
        <v>19</v>
      </c>
      <c r="G580" s="2">
        <v>46077</v>
      </c>
      <c r="H580" s="2">
        <v>46175</v>
      </c>
      <c r="I580" s="3">
        <v>90195169</v>
      </c>
      <c r="J580" t="s">
        <v>20</v>
      </c>
      <c r="K580" s="1">
        <v>46142</v>
      </c>
      <c r="L580" s="3">
        <v>91653625</v>
      </c>
      <c r="M580" s="3">
        <v>91022836.741382003</v>
      </c>
      <c r="N580" s="3">
        <v>91022836.741382003</v>
      </c>
      <c r="O580" s="6" t="s">
        <v>149</v>
      </c>
      <c r="P580" t="s">
        <v>201</v>
      </c>
      <c r="Q580" s="3">
        <v>33</v>
      </c>
      <c r="R580" s="5">
        <v>9.1665999999999997E-2</v>
      </c>
      <c r="S580" s="6" t="s">
        <v>145</v>
      </c>
      <c r="T580" t="s">
        <v>21</v>
      </c>
    </row>
    <row r="581" spans="1:20" x14ac:dyDescent="0.25">
      <c r="A581" t="s">
        <v>15</v>
      </c>
      <c r="B581" t="s">
        <v>120</v>
      </c>
      <c r="C581" t="s">
        <v>121</v>
      </c>
      <c r="D581" t="s">
        <v>122</v>
      </c>
      <c r="E581" t="s">
        <v>22</v>
      </c>
      <c r="F581" t="s">
        <v>19</v>
      </c>
      <c r="G581" s="2">
        <v>46043</v>
      </c>
      <c r="H581" s="2">
        <v>46146</v>
      </c>
      <c r="I581" s="3">
        <v>7348401</v>
      </c>
      <c r="J581" t="s">
        <v>20</v>
      </c>
      <c r="K581" s="1">
        <v>46142</v>
      </c>
      <c r="L581" s="3">
        <v>7411671</v>
      </c>
      <c r="M581" s="3">
        <v>7405450.4216459999</v>
      </c>
      <c r="N581" s="3">
        <v>7405450.4216459999</v>
      </c>
      <c r="O581" s="6"/>
      <c r="P581" t="s">
        <v>196</v>
      </c>
      <c r="Q581" s="3">
        <v>4</v>
      </c>
      <c r="R581" s="5">
        <v>1.1110999999999999E-2</v>
      </c>
      <c r="S581" s="6" t="s">
        <v>143</v>
      </c>
      <c r="T581" t="s">
        <v>21</v>
      </c>
    </row>
    <row r="582" spans="1:20" x14ac:dyDescent="0.25">
      <c r="A582" t="s">
        <v>15</v>
      </c>
      <c r="B582" t="s">
        <v>120</v>
      </c>
      <c r="C582" t="s">
        <v>121</v>
      </c>
      <c r="D582" t="s">
        <v>122</v>
      </c>
      <c r="E582" t="s">
        <v>22</v>
      </c>
      <c r="F582" t="s">
        <v>19</v>
      </c>
      <c r="G582" s="2">
        <v>46043</v>
      </c>
      <c r="H582" s="2">
        <v>46146</v>
      </c>
      <c r="I582" s="3">
        <v>6898365</v>
      </c>
      <c r="J582" t="s">
        <v>20</v>
      </c>
      <c r="K582" s="1">
        <v>46142</v>
      </c>
      <c r="L582" s="3">
        <v>7051601</v>
      </c>
      <c r="M582" s="3">
        <v>7045213.3399050003</v>
      </c>
      <c r="N582" s="3">
        <v>7045213.3399050003</v>
      </c>
      <c r="O582" s="6"/>
      <c r="P582" t="s">
        <v>196</v>
      </c>
      <c r="Q582" s="3">
        <v>4</v>
      </c>
      <c r="R582" s="5">
        <v>1.1110999999999999E-2</v>
      </c>
      <c r="S582" s="6" t="s">
        <v>143</v>
      </c>
      <c r="T582" t="s">
        <v>21</v>
      </c>
    </row>
    <row r="583" spans="1:20" x14ac:dyDescent="0.25">
      <c r="A583" t="s">
        <v>15</v>
      </c>
      <c r="B583" t="s">
        <v>120</v>
      </c>
      <c r="C583" t="s">
        <v>121</v>
      </c>
      <c r="D583" t="s">
        <v>122</v>
      </c>
      <c r="E583" t="s">
        <v>1337</v>
      </c>
      <c r="F583" t="s">
        <v>19</v>
      </c>
      <c r="G583" s="2">
        <v>46139</v>
      </c>
      <c r="H583" s="2">
        <v>46238</v>
      </c>
      <c r="I583" s="3">
        <v>15273606</v>
      </c>
      <c r="J583" t="s">
        <v>20</v>
      </c>
      <c r="K583" s="1">
        <v>46142</v>
      </c>
      <c r="L583" s="3">
        <v>15591144</v>
      </c>
      <c r="M583" s="3">
        <v>15283037.954831</v>
      </c>
      <c r="N583" s="3">
        <v>15283037.954831</v>
      </c>
      <c r="O583" s="6" t="s">
        <v>140</v>
      </c>
      <c r="P583" t="s">
        <v>201</v>
      </c>
      <c r="Q583" s="3">
        <v>96</v>
      </c>
      <c r="R583" s="5">
        <v>0.26666600000000001</v>
      </c>
      <c r="S583" s="6" t="s">
        <v>141</v>
      </c>
      <c r="T583" t="s">
        <v>21</v>
      </c>
    </row>
    <row r="584" spans="1:20" x14ac:dyDescent="0.25">
      <c r="A584" t="s">
        <v>15</v>
      </c>
      <c r="B584" t="s">
        <v>120</v>
      </c>
      <c r="C584" t="s">
        <v>121</v>
      </c>
      <c r="D584" t="s">
        <v>122</v>
      </c>
      <c r="E584" t="s">
        <v>1337</v>
      </c>
      <c r="F584" t="s">
        <v>19</v>
      </c>
      <c r="G584" s="2">
        <v>46139</v>
      </c>
      <c r="H584" s="2">
        <v>46238</v>
      </c>
      <c r="I584" s="3">
        <v>2062962</v>
      </c>
      <c r="J584" t="s">
        <v>20</v>
      </c>
      <c r="K584" s="1">
        <v>46142</v>
      </c>
      <c r="L584" s="3">
        <v>2105851</v>
      </c>
      <c r="M584" s="3">
        <v>2064236.002196</v>
      </c>
      <c r="N584" s="3">
        <v>2064236.002196</v>
      </c>
      <c r="O584" s="6" t="s">
        <v>140</v>
      </c>
      <c r="P584" t="s">
        <v>201</v>
      </c>
      <c r="Q584" s="3">
        <v>96</v>
      </c>
      <c r="R584" s="5">
        <v>0.26666600000000001</v>
      </c>
      <c r="S584" s="6" t="s">
        <v>141</v>
      </c>
      <c r="T584" t="s">
        <v>21</v>
      </c>
    </row>
    <row r="585" spans="1:20" x14ac:dyDescent="0.25">
      <c r="A585" t="s">
        <v>15</v>
      </c>
      <c r="B585" t="s">
        <v>120</v>
      </c>
      <c r="C585" t="s">
        <v>121</v>
      </c>
      <c r="D585" t="s">
        <v>122</v>
      </c>
      <c r="E585" t="s">
        <v>1337</v>
      </c>
      <c r="F585" t="s">
        <v>19</v>
      </c>
      <c r="G585" s="2">
        <v>46139</v>
      </c>
      <c r="H585" s="2">
        <v>46238</v>
      </c>
      <c r="I585" s="3">
        <v>8249064</v>
      </c>
      <c r="J585" t="s">
        <v>20</v>
      </c>
      <c r="K585" s="1">
        <v>46142</v>
      </c>
      <c r="L585" s="3">
        <v>8420562</v>
      </c>
      <c r="M585" s="3">
        <v>8254158.171267</v>
      </c>
      <c r="N585" s="3">
        <v>8254158.171267</v>
      </c>
      <c r="O585" s="6" t="s">
        <v>140</v>
      </c>
      <c r="P585" t="s">
        <v>201</v>
      </c>
      <c r="Q585" s="3">
        <v>96</v>
      </c>
      <c r="R585" s="5">
        <v>0.26666600000000001</v>
      </c>
      <c r="S585" s="6" t="s">
        <v>141</v>
      </c>
      <c r="T585" t="s">
        <v>21</v>
      </c>
    </row>
    <row r="586" spans="1:20" x14ac:dyDescent="0.25">
      <c r="A586" t="s">
        <v>15</v>
      </c>
      <c r="B586" t="s">
        <v>120</v>
      </c>
      <c r="C586" t="s">
        <v>121</v>
      </c>
      <c r="D586" t="s">
        <v>122</v>
      </c>
      <c r="E586" t="s">
        <v>1292</v>
      </c>
      <c r="F586" t="s">
        <v>19</v>
      </c>
      <c r="G586" s="2">
        <v>46083</v>
      </c>
      <c r="H586" s="2">
        <v>46178</v>
      </c>
      <c r="I586" s="3">
        <v>4043520</v>
      </c>
      <c r="J586" t="s">
        <v>20</v>
      </c>
      <c r="K586" s="1">
        <v>46142</v>
      </c>
      <c r="L586" s="3">
        <v>4130590</v>
      </c>
      <c r="M586" s="3">
        <v>4097157.1972699999</v>
      </c>
      <c r="N586" s="3">
        <v>4097157.1972699999</v>
      </c>
      <c r="O586" s="6" t="s">
        <v>283</v>
      </c>
      <c r="P586" t="s">
        <v>196</v>
      </c>
      <c r="Q586" s="3">
        <v>36</v>
      </c>
      <c r="R586" s="5">
        <v>0.1</v>
      </c>
      <c r="S586" s="6" t="s">
        <v>145</v>
      </c>
      <c r="T586" t="s">
        <v>21</v>
      </c>
    </row>
    <row r="587" spans="1:20" x14ac:dyDescent="0.25">
      <c r="A587" t="s">
        <v>15</v>
      </c>
      <c r="B587" t="s">
        <v>120</v>
      </c>
      <c r="C587" t="s">
        <v>121</v>
      </c>
      <c r="D587" t="s">
        <v>122</v>
      </c>
      <c r="E587" t="s">
        <v>1293</v>
      </c>
      <c r="F587" t="s">
        <v>19</v>
      </c>
      <c r="G587" s="2">
        <v>46108</v>
      </c>
      <c r="H587" s="2">
        <v>46209</v>
      </c>
      <c r="I587" s="3">
        <v>28984167</v>
      </c>
      <c r="J587" t="s">
        <v>20</v>
      </c>
      <c r="K587" s="1">
        <v>46142</v>
      </c>
      <c r="L587" s="3">
        <v>29398061</v>
      </c>
      <c r="M587" s="3">
        <v>28990169.317699999</v>
      </c>
      <c r="N587" s="3">
        <v>28990169.317699999</v>
      </c>
      <c r="O587" s="6" t="s">
        <v>521</v>
      </c>
      <c r="P587" t="s">
        <v>196</v>
      </c>
      <c r="Q587" s="3">
        <v>67</v>
      </c>
      <c r="R587" s="5">
        <v>0.186111</v>
      </c>
      <c r="S587" s="6" t="s">
        <v>145</v>
      </c>
      <c r="T587" t="s">
        <v>21</v>
      </c>
    </row>
    <row r="588" spans="1:20" x14ac:dyDescent="0.25">
      <c r="A588" t="s">
        <v>15</v>
      </c>
      <c r="B588" t="s">
        <v>120</v>
      </c>
      <c r="C588" t="s">
        <v>121</v>
      </c>
      <c r="D588" t="s">
        <v>122</v>
      </c>
      <c r="E588" t="s">
        <v>23</v>
      </c>
      <c r="F588" t="s">
        <v>19</v>
      </c>
      <c r="G588" s="2">
        <v>46049</v>
      </c>
      <c r="H588" s="2">
        <v>46149</v>
      </c>
      <c r="I588" s="3">
        <v>4998521</v>
      </c>
      <c r="J588" t="s">
        <v>20</v>
      </c>
      <c r="K588" s="1">
        <v>46142</v>
      </c>
      <c r="L588" s="3">
        <v>5093693</v>
      </c>
      <c r="M588" s="3">
        <v>5085623.8102209996</v>
      </c>
      <c r="N588" s="3">
        <v>5085623.8102209996</v>
      </c>
      <c r="O588" s="6" t="s">
        <v>521</v>
      </c>
      <c r="P588" t="s">
        <v>196</v>
      </c>
      <c r="Q588" s="3">
        <v>7</v>
      </c>
      <c r="R588" s="5">
        <v>1.9443999999999999E-2</v>
      </c>
      <c r="S588" s="6" t="s">
        <v>143</v>
      </c>
      <c r="T588" t="s">
        <v>21</v>
      </c>
    </row>
    <row r="589" spans="1:20" x14ac:dyDescent="0.25">
      <c r="A589" t="s">
        <v>15</v>
      </c>
      <c r="B589" t="s">
        <v>120</v>
      </c>
      <c r="C589" t="s">
        <v>121</v>
      </c>
      <c r="D589" t="s">
        <v>122</v>
      </c>
      <c r="E589" t="s">
        <v>23</v>
      </c>
      <c r="F589" t="s">
        <v>19</v>
      </c>
      <c r="G589" s="2">
        <v>46049</v>
      </c>
      <c r="H589" s="2">
        <v>46149</v>
      </c>
      <c r="I589" s="3">
        <v>3572052</v>
      </c>
      <c r="J589" t="s">
        <v>20</v>
      </c>
      <c r="K589" s="1">
        <v>46142</v>
      </c>
      <c r="L589" s="3">
        <v>3581804</v>
      </c>
      <c r="M589" s="3">
        <v>3576546.4766790001</v>
      </c>
      <c r="N589" s="3">
        <v>3576546.4766790001</v>
      </c>
      <c r="O589" s="6" t="s">
        <v>521</v>
      </c>
      <c r="P589" t="s">
        <v>196</v>
      </c>
      <c r="Q589" s="3">
        <v>7</v>
      </c>
      <c r="R589" s="5">
        <v>1.9443999999999999E-2</v>
      </c>
      <c r="S589" s="6" t="s">
        <v>143</v>
      </c>
      <c r="T589" t="s">
        <v>21</v>
      </c>
    </row>
    <row r="590" spans="1:20" x14ac:dyDescent="0.25">
      <c r="A590" t="s">
        <v>15</v>
      </c>
      <c r="B590" t="s">
        <v>120</v>
      </c>
      <c r="C590" t="s">
        <v>121</v>
      </c>
      <c r="D590" t="s">
        <v>122</v>
      </c>
      <c r="E590" t="s">
        <v>1364</v>
      </c>
      <c r="F590" t="s">
        <v>19</v>
      </c>
      <c r="G590" s="2">
        <v>46141</v>
      </c>
      <c r="H590" s="2">
        <v>46241</v>
      </c>
      <c r="I590" s="3">
        <v>26769809</v>
      </c>
      <c r="J590" t="s">
        <v>20</v>
      </c>
      <c r="K590" s="1">
        <v>46142</v>
      </c>
      <c r="L590" s="3">
        <v>27331975</v>
      </c>
      <c r="M590" s="3">
        <v>26775316.176686998</v>
      </c>
      <c r="N590" s="3">
        <v>26775316.176686998</v>
      </c>
      <c r="O590" s="6" t="s">
        <v>185</v>
      </c>
      <c r="P590" t="s">
        <v>196</v>
      </c>
      <c r="Q590" s="3">
        <v>99</v>
      </c>
      <c r="R590" s="5">
        <v>0.27500000000000002</v>
      </c>
      <c r="S590" s="6" t="s">
        <v>141</v>
      </c>
      <c r="T590" t="s">
        <v>21</v>
      </c>
    </row>
    <row r="591" spans="1:20" x14ac:dyDescent="0.25">
      <c r="A591" t="s">
        <v>15</v>
      </c>
      <c r="B591" t="s">
        <v>120</v>
      </c>
      <c r="C591" t="s">
        <v>121</v>
      </c>
      <c r="D591" t="s">
        <v>122</v>
      </c>
      <c r="E591" t="s">
        <v>61</v>
      </c>
      <c r="F591" t="s">
        <v>19</v>
      </c>
      <c r="G591" s="2">
        <v>46049</v>
      </c>
      <c r="H591" s="2">
        <v>46150</v>
      </c>
      <c r="I591" s="3">
        <v>24018833</v>
      </c>
      <c r="J591" t="s">
        <v>20</v>
      </c>
      <c r="K591" s="1">
        <v>46142</v>
      </c>
      <c r="L591" s="3">
        <v>24301294</v>
      </c>
      <c r="M591" s="3">
        <v>24260536.299017999</v>
      </c>
      <c r="N591" s="3">
        <v>24260536.299017999</v>
      </c>
      <c r="O591" s="6" t="s">
        <v>521</v>
      </c>
      <c r="P591" t="s">
        <v>196</v>
      </c>
      <c r="Q591" s="3">
        <v>8</v>
      </c>
      <c r="R591" s="5">
        <v>2.2221999999999999E-2</v>
      </c>
      <c r="S591" s="6" t="s">
        <v>143</v>
      </c>
      <c r="T591" t="s">
        <v>21</v>
      </c>
    </row>
    <row r="592" spans="1:20" x14ac:dyDescent="0.25">
      <c r="A592" t="s">
        <v>15</v>
      </c>
      <c r="B592" t="s">
        <v>120</v>
      </c>
      <c r="C592" t="s">
        <v>121</v>
      </c>
      <c r="D592" t="s">
        <v>122</v>
      </c>
      <c r="E592" t="s">
        <v>37</v>
      </c>
      <c r="F592" t="s">
        <v>19</v>
      </c>
      <c r="G592" s="2">
        <v>46050</v>
      </c>
      <c r="H592" s="2">
        <v>46153</v>
      </c>
      <c r="I592" s="3">
        <v>34324817</v>
      </c>
      <c r="J592" t="s">
        <v>20</v>
      </c>
      <c r="K592" s="1">
        <v>46142</v>
      </c>
      <c r="L592" s="3">
        <v>34750101</v>
      </c>
      <c r="M592" s="3">
        <v>34670013.269348003</v>
      </c>
      <c r="N592" s="3">
        <v>34670013.269348003</v>
      </c>
      <c r="O592" s="6" t="s">
        <v>153</v>
      </c>
      <c r="P592" t="s">
        <v>196</v>
      </c>
      <c r="Q592" s="3">
        <v>11</v>
      </c>
      <c r="R592" s="5">
        <v>3.0554999999999999E-2</v>
      </c>
      <c r="S592" s="6" t="s">
        <v>143</v>
      </c>
      <c r="T592" t="s">
        <v>21</v>
      </c>
    </row>
    <row r="593" spans="1:20" x14ac:dyDescent="0.25">
      <c r="A593" t="s">
        <v>15</v>
      </c>
      <c r="B593" t="s">
        <v>120</v>
      </c>
      <c r="C593" t="s">
        <v>121</v>
      </c>
      <c r="D593" t="s">
        <v>122</v>
      </c>
      <c r="E593" t="s">
        <v>38</v>
      </c>
      <c r="F593" t="s">
        <v>19</v>
      </c>
      <c r="G593" s="2">
        <v>46050</v>
      </c>
      <c r="H593" s="2">
        <v>46154</v>
      </c>
      <c r="I593" s="3">
        <v>25493246</v>
      </c>
      <c r="J593" t="s">
        <v>20</v>
      </c>
      <c r="K593" s="1">
        <v>46142</v>
      </c>
      <c r="L593" s="3">
        <v>25814461</v>
      </c>
      <c r="M593" s="3">
        <v>25749572.078363001</v>
      </c>
      <c r="N593" s="3">
        <v>25749572.078363001</v>
      </c>
      <c r="O593" s="6" t="s">
        <v>147</v>
      </c>
      <c r="P593" t="s">
        <v>196</v>
      </c>
      <c r="Q593" s="3">
        <v>12</v>
      </c>
      <c r="R593" s="5">
        <v>3.3333000000000002E-2</v>
      </c>
      <c r="S593" s="6" t="s">
        <v>143</v>
      </c>
      <c r="T593" t="s">
        <v>21</v>
      </c>
    </row>
    <row r="594" spans="1:20" x14ac:dyDescent="0.25">
      <c r="A594" t="s">
        <v>15</v>
      </c>
      <c r="B594" t="s">
        <v>120</v>
      </c>
      <c r="C594" t="s">
        <v>121</v>
      </c>
      <c r="D594" t="s">
        <v>122</v>
      </c>
      <c r="E594" t="s">
        <v>1375</v>
      </c>
      <c r="F594" t="s">
        <v>19</v>
      </c>
      <c r="G594" s="2">
        <v>46142</v>
      </c>
      <c r="H594" s="2">
        <v>46246</v>
      </c>
      <c r="I594" s="3">
        <v>18118445</v>
      </c>
      <c r="J594" t="s">
        <v>20</v>
      </c>
      <c r="K594" s="1">
        <v>46142</v>
      </c>
      <c r="L594" s="3">
        <v>18514152</v>
      </c>
      <c r="M594" s="3">
        <v>18118445.157754999</v>
      </c>
      <c r="N594" s="3">
        <v>18118445.157754999</v>
      </c>
      <c r="O594" s="6" t="s">
        <v>140</v>
      </c>
      <c r="P594" t="s">
        <v>201</v>
      </c>
      <c r="Q594" s="3">
        <v>104</v>
      </c>
      <c r="R594" s="5">
        <v>0.28888799999999998</v>
      </c>
      <c r="S594" s="6" t="s">
        <v>141</v>
      </c>
      <c r="T594" t="s">
        <v>21</v>
      </c>
    </row>
    <row r="595" spans="1:20" x14ac:dyDescent="0.25">
      <c r="A595" t="s">
        <v>15</v>
      </c>
      <c r="B595" t="s">
        <v>120</v>
      </c>
      <c r="C595" t="s">
        <v>121</v>
      </c>
      <c r="D595" t="s">
        <v>122</v>
      </c>
      <c r="E595" t="s">
        <v>25</v>
      </c>
      <c r="F595" t="s">
        <v>19</v>
      </c>
      <c r="G595" s="2">
        <v>46051</v>
      </c>
      <c r="H595" s="2">
        <v>46156</v>
      </c>
      <c r="I595" s="3">
        <v>35164798</v>
      </c>
      <c r="J595" t="s">
        <v>20</v>
      </c>
      <c r="K595" s="1">
        <v>46142</v>
      </c>
      <c r="L595" s="3">
        <v>35526644</v>
      </c>
      <c r="M595" s="3">
        <v>35422501.844577</v>
      </c>
      <c r="N595" s="3">
        <v>35422501.844577</v>
      </c>
      <c r="O595" s="6" t="s">
        <v>452</v>
      </c>
      <c r="P595" t="s">
        <v>196</v>
      </c>
      <c r="Q595" s="3">
        <v>14</v>
      </c>
      <c r="R595" s="5">
        <v>3.8887999999999999E-2</v>
      </c>
      <c r="S595" s="6" t="s">
        <v>143</v>
      </c>
      <c r="T595" t="s">
        <v>21</v>
      </c>
    </row>
    <row r="596" spans="1:20" x14ac:dyDescent="0.25">
      <c r="A596" t="s">
        <v>15</v>
      </c>
      <c r="B596" t="s">
        <v>120</v>
      </c>
      <c r="C596" t="s">
        <v>121</v>
      </c>
      <c r="D596" t="s">
        <v>122</v>
      </c>
      <c r="E596" t="s">
        <v>25</v>
      </c>
      <c r="F596" t="s">
        <v>19</v>
      </c>
      <c r="G596" s="2">
        <v>46051</v>
      </c>
      <c r="H596" s="2">
        <v>46156</v>
      </c>
      <c r="I596" s="3">
        <v>12017563</v>
      </c>
      <c r="J596" t="s">
        <v>20</v>
      </c>
      <c r="K596" s="1">
        <v>46142</v>
      </c>
      <c r="L596" s="3">
        <v>12070560</v>
      </c>
      <c r="M596" s="3">
        <v>12035176.580852</v>
      </c>
      <c r="N596" s="3">
        <v>12035176.580852</v>
      </c>
      <c r="O596" s="6" t="s">
        <v>452</v>
      </c>
      <c r="P596" t="s">
        <v>196</v>
      </c>
      <c r="Q596" s="3">
        <v>14</v>
      </c>
      <c r="R596" s="5">
        <v>3.8887999999999999E-2</v>
      </c>
      <c r="S596" s="6" t="s">
        <v>143</v>
      </c>
      <c r="T596" t="s">
        <v>21</v>
      </c>
    </row>
    <row r="597" spans="1:20" x14ac:dyDescent="0.25">
      <c r="A597" t="s">
        <v>15</v>
      </c>
      <c r="B597" t="s">
        <v>120</v>
      </c>
      <c r="C597" t="s">
        <v>121</v>
      </c>
      <c r="D597" t="s">
        <v>122</v>
      </c>
      <c r="E597" t="s">
        <v>26</v>
      </c>
      <c r="F597" t="s">
        <v>19</v>
      </c>
      <c r="G597" s="2">
        <v>46052</v>
      </c>
      <c r="H597" s="2">
        <v>46157</v>
      </c>
      <c r="I597" s="3">
        <v>5027200</v>
      </c>
      <c r="J597" t="s">
        <v>20</v>
      </c>
      <c r="K597" s="1">
        <v>46142</v>
      </c>
      <c r="L597" s="3">
        <v>5140010</v>
      </c>
      <c r="M597" s="3">
        <v>5122593.1831769999</v>
      </c>
      <c r="N597" s="3">
        <v>5122593.1831769999</v>
      </c>
      <c r="O597" s="6" t="s">
        <v>521</v>
      </c>
      <c r="P597" t="s">
        <v>196</v>
      </c>
      <c r="Q597" s="3">
        <v>15</v>
      </c>
      <c r="R597" s="5">
        <v>4.1666000000000002E-2</v>
      </c>
      <c r="S597" s="6" t="s">
        <v>143</v>
      </c>
      <c r="T597" t="s">
        <v>21</v>
      </c>
    </row>
    <row r="598" spans="1:20" x14ac:dyDescent="0.25">
      <c r="A598" t="s">
        <v>15</v>
      </c>
      <c r="B598" t="s">
        <v>120</v>
      </c>
      <c r="C598" t="s">
        <v>121</v>
      </c>
      <c r="D598" t="s">
        <v>122</v>
      </c>
      <c r="E598" t="s">
        <v>27</v>
      </c>
      <c r="F598" t="s">
        <v>19</v>
      </c>
      <c r="G598" s="2">
        <v>46052</v>
      </c>
      <c r="H598" s="2">
        <v>46160</v>
      </c>
      <c r="I598" s="3">
        <v>15391228</v>
      </c>
      <c r="J598" t="s">
        <v>20</v>
      </c>
      <c r="K598" s="1">
        <v>46142</v>
      </c>
      <c r="L598" s="3">
        <v>15568997</v>
      </c>
      <c r="M598" s="3">
        <v>15510367.809679</v>
      </c>
      <c r="N598" s="3">
        <v>15510367.809679</v>
      </c>
      <c r="O598" s="6" t="s">
        <v>452</v>
      </c>
      <c r="P598" t="s">
        <v>196</v>
      </c>
      <c r="Q598" s="3">
        <v>18</v>
      </c>
      <c r="R598" s="5">
        <v>0.05</v>
      </c>
      <c r="S598" s="6" t="s">
        <v>143</v>
      </c>
      <c r="T598" t="s">
        <v>21</v>
      </c>
    </row>
    <row r="599" spans="1:20" x14ac:dyDescent="0.25">
      <c r="A599" t="s">
        <v>15</v>
      </c>
      <c r="B599" t="s">
        <v>120</v>
      </c>
      <c r="C599" t="s">
        <v>121</v>
      </c>
      <c r="D599" t="s">
        <v>122</v>
      </c>
      <c r="E599" t="s">
        <v>27</v>
      </c>
      <c r="F599" t="s">
        <v>19</v>
      </c>
      <c r="G599" s="2">
        <v>46052</v>
      </c>
      <c r="H599" s="2">
        <v>46160</v>
      </c>
      <c r="I599" s="3">
        <v>32692518</v>
      </c>
      <c r="J599" t="s">
        <v>20</v>
      </c>
      <c r="K599" s="1">
        <v>46142</v>
      </c>
      <c r="L599" s="3">
        <v>33145636</v>
      </c>
      <c r="M599" s="3">
        <v>33020817.310566001</v>
      </c>
      <c r="N599" s="3">
        <v>33020817.310566001</v>
      </c>
      <c r="O599" s="6" t="s">
        <v>452</v>
      </c>
      <c r="P599" t="s">
        <v>196</v>
      </c>
      <c r="Q599" s="3">
        <v>18</v>
      </c>
      <c r="R599" s="5">
        <v>0.05</v>
      </c>
      <c r="S599" s="6" t="s">
        <v>143</v>
      </c>
      <c r="T599" t="s">
        <v>21</v>
      </c>
    </row>
    <row r="600" spans="1:20" x14ac:dyDescent="0.25">
      <c r="A600" t="s">
        <v>15</v>
      </c>
      <c r="B600" t="s">
        <v>120</v>
      </c>
      <c r="C600" t="s">
        <v>121</v>
      </c>
      <c r="D600" t="s">
        <v>122</v>
      </c>
      <c r="E600" t="s">
        <v>1311</v>
      </c>
      <c r="F600" t="s">
        <v>19</v>
      </c>
      <c r="G600" s="2">
        <v>46094</v>
      </c>
      <c r="H600" s="2">
        <v>46192</v>
      </c>
      <c r="I600" s="3">
        <v>17471302</v>
      </c>
      <c r="J600" t="s">
        <v>20</v>
      </c>
      <c r="K600" s="1">
        <v>46142</v>
      </c>
      <c r="L600" s="3">
        <v>17830861</v>
      </c>
      <c r="M600" s="3">
        <v>17645582.384957999</v>
      </c>
      <c r="N600" s="3">
        <v>17645582.384957999</v>
      </c>
      <c r="O600" s="6"/>
      <c r="P600" t="s">
        <v>196</v>
      </c>
      <c r="Q600" s="3">
        <v>50</v>
      </c>
      <c r="R600" s="5">
        <v>0.13888800000000001</v>
      </c>
      <c r="S600" s="6" t="s">
        <v>145</v>
      </c>
      <c r="T600" t="s">
        <v>21</v>
      </c>
    </row>
    <row r="601" spans="1:20" x14ac:dyDescent="0.25">
      <c r="A601" t="s">
        <v>15</v>
      </c>
      <c r="B601" t="s">
        <v>120</v>
      </c>
      <c r="C601" t="s">
        <v>121</v>
      </c>
      <c r="D601" t="s">
        <v>122</v>
      </c>
      <c r="E601" t="s">
        <v>1311</v>
      </c>
      <c r="F601" t="s">
        <v>19</v>
      </c>
      <c r="G601" s="2">
        <v>46094</v>
      </c>
      <c r="H601" s="2">
        <v>46192</v>
      </c>
      <c r="I601" s="3">
        <v>15653097</v>
      </c>
      <c r="J601" t="s">
        <v>20</v>
      </c>
      <c r="K601" s="1">
        <v>46142</v>
      </c>
      <c r="L601" s="3">
        <v>15975238</v>
      </c>
      <c r="M601" s="3">
        <v>15809240.969817</v>
      </c>
      <c r="N601" s="3">
        <v>15809240.969817</v>
      </c>
      <c r="O601" s="6"/>
      <c r="P601" t="s">
        <v>196</v>
      </c>
      <c r="Q601" s="3">
        <v>50</v>
      </c>
      <c r="R601" s="5">
        <v>0.13888800000000001</v>
      </c>
      <c r="S601" s="6" t="s">
        <v>145</v>
      </c>
      <c r="T601" t="s">
        <v>21</v>
      </c>
    </row>
    <row r="602" spans="1:20" x14ac:dyDescent="0.25">
      <c r="A602" t="s">
        <v>15</v>
      </c>
      <c r="B602" t="s">
        <v>120</v>
      </c>
      <c r="C602" t="s">
        <v>121</v>
      </c>
      <c r="D602" t="s">
        <v>122</v>
      </c>
      <c r="E602" t="s">
        <v>71</v>
      </c>
      <c r="F602" t="s">
        <v>19</v>
      </c>
      <c r="G602" s="2">
        <v>46062</v>
      </c>
      <c r="H602" s="2">
        <v>46162</v>
      </c>
      <c r="I602" s="3">
        <v>28738856</v>
      </c>
      <c r="J602" t="s">
        <v>20</v>
      </c>
      <c r="K602" s="1">
        <v>46142</v>
      </c>
      <c r="L602" s="3">
        <v>29149247</v>
      </c>
      <c r="M602" s="3">
        <v>29027332.204739999</v>
      </c>
      <c r="N602" s="3">
        <v>29027332.204739999</v>
      </c>
      <c r="O602" s="6" t="s">
        <v>1341</v>
      </c>
      <c r="P602" t="s">
        <v>196</v>
      </c>
      <c r="Q602" s="3">
        <v>20</v>
      </c>
      <c r="R602" s="5">
        <v>5.5555E-2</v>
      </c>
      <c r="S602" s="6" t="s">
        <v>143</v>
      </c>
      <c r="T602" t="s">
        <v>21</v>
      </c>
    </row>
    <row r="603" spans="1:20" x14ac:dyDescent="0.25">
      <c r="A603" t="s">
        <v>15</v>
      </c>
      <c r="B603" t="s">
        <v>120</v>
      </c>
      <c r="C603" t="s">
        <v>121</v>
      </c>
      <c r="D603" t="s">
        <v>122</v>
      </c>
      <c r="E603" t="s">
        <v>71</v>
      </c>
      <c r="F603" t="s">
        <v>19</v>
      </c>
      <c r="G603" s="2">
        <v>46062</v>
      </c>
      <c r="H603" s="2">
        <v>46162</v>
      </c>
      <c r="I603" s="3">
        <v>3695967</v>
      </c>
      <c r="J603" t="s">
        <v>20</v>
      </c>
      <c r="K603" s="1">
        <v>46142</v>
      </c>
      <c r="L603" s="3">
        <v>3779742</v>
      </c>
      <c r="M603" s="3">
        <v>3762684.4969469998</v>
      </c>
      <c r="N603" s="3">
        <v>3762684.4969469998</v>
      </c>
      <c r="O603" s="6" t="s">
        <v>1341</v>
      </c>
      <c r="P603" t="s">
        <v>196</v>
      </c>
      <c r="Q603" s="3">
        <v>20</v>
      </c>
      <c r="R603" s="5">
        <v>5.5555E-2</v>
      </c>
      <c r="S603" s="6" t="s">
        <v>143</v>
      </c>
      <c r="T603" t="s">
        <v>21</v>
      </c>
    </row>
    <row r="604" spans="1:20" x14ac:dyDescent="0.25">
      <c r="A604" t="s">
        <v>15</v>
      </c>
      <c r="B604" t="s">
        <v>120</v>
      </c>
      <c r="C604" t="s">
        <v>121</v>
      </c>
      <c r="D604" t="s">
        <v>122</v>
      </c>
      <c r="E604" t="s">
        <v>1342</v>
      </c>
      <c r="F604" t="s">
        <v>19</v>
      </c>
      <c r="G604" s="2">
        <v>46122</v>
      </c>
      <c r="H604" s="2">
        <v>46223</v>
      </c>
      <c r="I604" s="3">
        <v>27753326</v>
      </c>
      <c r="J604" t="s">
        <v>20</v>
      </c>
      <c r="K604" s="1">
        <v>46142</v>
      </c>
      <c r="L604" s="3">
        <v>28341974</v>
      </c>
      <c r="M604" s="3">
        <v>27867940.334903002</v>
      </c>
      <c r="N604" s="3">
        <v>27867940.334903002</v>
      </c>
      <c r="O604" s="6" t="s">
        <v>1264</v>
      </c>
      <c r="P604" t="s">
        <v>196</v>
      </c>
      <c r="Q604" s="3">
        <v>81</v>
      </c>
      <c r="R604" s="5">
        <v>0.22500000000000001</v>
      </c>
      <c r="S604" s="6" t="s">
        <v>145</v>
      </c>
      <c r="T604" t="s">
        <v>21</v>
      </c>
    </row>
    <row r="605" spans="1:20" x14ac:dyDescent="0.25">
      <c r="A605" t="s">
        <v>15</v>
      </c>
      <c r="B605" t="s">
        <v>120</v>
      </c>
      <c r="C605" t="s">
        <v>121</v>
      </c>
      <c r="D605" t="s">
        <v>122</v>
      </c>
      <c r="E605" t="s">
        <v>1332</v>
      </c>
      <c r="F605" t="s">
        <v>19</v>
      </c>
      <c r="G605" s="2">
        <v>46125</v>
      </c>
      <c r="H605" s="2">
        <v>46224</v>
      </c>
      <c r="I605" s="3">
        <v>73717735</v>
      </c>
      <c r="J605" t="s">
        <v>20</v>
      </c>
      <c r="K605" s="1">
        <v>46142</v>
      </c>
      <c r="L605" s="3">
        <v>75250327</v>
      </c>
      <c r="M605" s="3">
        <v>73976452.488153994</v>
      </c>
      <c r="N605" s="3">
        <v>73976452.488153994</v>
      </c>
      <c r="O605" s="6" t="s">
        <v>373</v>
      </c>
      <c r="P605" t="s">
        <v>196</v>
      </c>
      <c r="Q605" s="3">
        <v>82</v>
      </c>
      <c r="R605" s="5">
        <v>0.22777700000000001</v>
      </c>
      <c r="S605" s="6" t="s">
        <v>145</v>
      </c>
      <c r="T605" t="s">
        <v>21</v>
      </c>
    </row>
    <row r="606" spans="1:20" x14ac:dyDescent="0.25">
      <c r="A606" t="s">
        <v>15</v>
      </c>
      <c r="B606" t="s">
        <v>120</v>
      </c>
      <c r="C606" t="s">
        <v>121</v>
      </c>
      <c r="D606" t="s">
        <v>122</v>
      </c>
      <c r="E606" t="s">
        <v>1332</v>
      </c>
      <c r="F606" t="s">
        <v>19</v>
      </c>
      <c r="G606" s="2">
        <v>46125</v>
      </c>
      <c r="H606" s="2">
        <v>46224</v>
      </c>
      <c r="I606" s="3">
        <v>66228212</v>
      </c>
      <c r="J606" t="s">
        <v>20</v>
      </c>
      <c r="K606" s="1">
        <v>46142</v>
      </c>
      <c r="L606" s="3">
        <v>67605097</v>
      </c>
      <c r="M606" s="3">
        <v>66460644.698294997</v>
      </c>
      <c r="N606" s="3">
        <v>66460644.698294997</v>
      </c>
      <c r="O606" s="6" t="s">
        <v>373</v>
      </c>
      <c r="P606" t="s">
        <v>196</v>
      </c>
      <c r="Q606" s="3">
        <v>82</v>
      </c>
      <c r="R606" s="5">
        <v>0.22777700000000001</v>
      </c>
      <c r="S606" s="6" t="s">
        <v>145</v>
      </c>
      <c r="T606" t="s">
        <v>21</v>
      </c>
    </row>
    <row r="607" spans="1:20" x14ac:dyDescent="0.25">
      <c r="A607" t="s">
        <v>15</v>
      </c>
      <c r="B607" t="s">
        <v>120</v>
      </c>
      <c r="C607" t="s">
        <v>121</v>
      </c>
      <c r="D607" t="s">
        <v>122</v>
      </c>
      <c r="E607" t="s">
        <v>1332</v>
      </c>
      <c r="F607" t="s">
        <v>19</v>
      </c>
      <c r="G607" s="2">
        <v>46125</v>
      </c>
      <c r="H607" s="2">
        <v>46224</v>
      </c>
      <c r="I607" s="3">
        <v>10968749</v>
      </c>
      <c r="J607" t="s">
        <v>20</v>
      </c>
      <c r="K607" s="1">
        <v>46142</v>
      </c>
      <c r="L607" s="3">
        <v>11196789</v>
      </c>
      <c r="M607" s="3">
        <v>11007244.253946999</v>
      </c>
      <c r="N607" s="3">
        <v>11007244.253946999</v>
      </c>
      <c r="O607" s="6" t="s">
        <v>373</v>
      </c>
      <c r="P607" t="s">
        <v>196</v>
      </c>
      <c r="Q607" s="3">
        <v>82</v>
      </c>
      <c r="R607" s="5">
        <v>0.22777700000000001</v>
      </c>
      <c r="S607" s="6" t="s">
        <v>145</v>
      </c>
      <c r="T607" t="s">
        <v>21</v>
      </c>
    </row>
    <row r="608" spans="1:20" x14ac:dyDescent="0.25">
      <c r="A608" t="s">
        <v>15</v>
      </c>
      <c r="B608" t="s">
        <v>120</v>
      </c>
      <c r="C608" t="s">
        <v>121</v>
      </c>
      <c r="D608" t="s">
        <v>122</v>
      </c>
      <c r="E608" t="s">
        <v>28</v>
      </c>
      <c r="F608" t="s">
        <v>19</v>
      </c>
      <c r="G608" s="2">
        <v>46062</v>
      </c>
      <c r="H608" s="2">
        <v>46164</v>
      </c>
      <c r="I608" s="3">
        <v>19213356</v>
      </c>
      <c r="J608" t="s">
        <v>20</v>
      </c>
      <c r="K608" s="1">
        <v>46142</v>
      </c>
      <c r="L608" s="3">
        <v>19386853</v>
      </c>
      <c r="M608" s="3">
        <v>19297697.636916999</v>
      </c>
      <c r="N608" s="3">
        <v>19297697.636916999</v>
      </c>
      <c r="O608" s="6" t="s">
        <v>1333</v>
      </c>
      <c r="P608" t="s">
        <v>196</v>
      </c>
      <c r="Q608" s="3">
        <v>22</v>
      </c>
      <c r="R608" s="5">
        <v>6.1110999999999999E-2</v>
      </c>
      <c r="S608" s="6" t="s">
        <v>143</v>
      </c>
      <c r="T608" t="s">
        <v>21</v>
      </c>
    </row>
    <row r="609" spans="1:20" x14ac:dyDescent="0.25">
      <c r="A609" t="s">
        <v>15</v>
      </c>
      <c r="B609" t="s">
        <v>120</v>
      </c>
      <c r="C609" t="s">
        <v>121</v>
      </c>
      <c r="D609" t="s">
        <v>122</v>
      </c>
      <c r="E609" t="s">
        <v>28</v>
      </c>
      <c r="F609" t="s">
        <v>19</v>
      </c>
      <c r="G609" s="2">
        <v>46062</v>
      </c>
      <c r="H609" s="2">
        <v>46164</v>
      </c>
      <c r="I609" s="3">
        <v>16900106</v>
      </c>
      <c r="J609" t="s">
        <v>20</v>
      </c>
      <c r="K609" s="1">
        <v>46142</v>
      </c>
      <c r="L609" s="3">
        <v>17109498</v>
      </c>
      <c r="M609" s="3">
        <v>17030815.631781001</v>
      </c>
      <c r="N609" s="3">
        <v>17030815.631781001</v>
      </c>
      <c r="O609" s="6" t="s">
        <v>1333</v>
      </c>
      <c r="P609" t="s">
        <v>196</v>
      </c>
      <c r="Q609" s="3">
        <v>22</v>
      </c>
      <c r="R609" s="5">
        <v>6.1110999999999999E-2</v>
      </c>
      <c r="S609" s="6" t="s">
        <v>143</v>
      </c>
      <c r="T609" t="s">
        <v>21</v>
      </c>
    </row>
    <row r="610" spans="1:20" x14ac:dyDescent="0.25">
      <c r="A610" t="s">
        <v>15</v>
      </c>
      <c r="B610" t="s">
        <v>120</v>
      </c>
      <c r="C610" t="s">
        <v>121</v>
      </c>
      <c r="D610" t="s">
        <v>122</v>
      </c>
      <c r="E610" t="s">
        <v>28</v>
      </c>
      <c r="F610" t="s">
        <v>19</v>
      </c>
      <c r="G610" s="2">
        <v>46062</v>
      </c>
      <c r="H610" s="2">
        <v>46164</v>
      </c>
      <c r="I610" s="3">
        <v>21585232</v>
      </c>
      <c r="J610" t="s">
        <v>20</v>
      </c>
      <c r="K610" s="1">
        <v>46142</v>
      </c>
      <c r="L610" s="3">
        <v>21902535</v>
      </c>
      <c r="M610" s="3">
        <v>21801810.634867001</v>
      </c>
      <c r="N610" s="3">
        <v>21801810.634867001</v>
      </c>
      <c r="O610" s="6" t="s">
        <v>1333</v>
      </c>
      <c r="P610" t="s">
        <v>196</v>
      </c>
      <c r="Q610" s="3">
        <v>22</v>
      </c>
      <c r="R610" s="5">
        <v>6.1110999999999999E-2</v>
      </c>
      <c r="S610" s="6" t="s">
        <v>143</v>
      </c>
      <c r="T610" t="s">
        <v>21</v>
      </c>
    </row>
    <row r="611" spans="1:20" x14ac:dyDescent="0.25">
      <c r="A611" t="s">
        <v>15</v>
      </c>
      <c r="B611" t="s">
        <v>120</v>
      </c>
      <c r="C611" t="s">
        <v>121</v>
      </c>
      <c r="D611" t="s">
        <v>122</v>
      </c>
      <c r="E611" t="s">
        <v>1343</v>
      </c>
      <c r="F611" t="s">
        <v>19</v>
      </c>
      <c r="G611" s="2">
        <v>46126</v>
      </c>
      <c r="H611" s="2">
        <v>46225</v>
      </c>
      <c r="I611" s="3">
        <v>25271996</v>
      </c>
      <c r="J611" t="s">
        <v>20</v>
      </c>
      <c r="K611" s="1">
        <v>46142</v>
      </c>
      <c r="L611" s="3">
        <v>25717794</v>
      </c>
      <c r="M611" s="3">
        <v>25277212.191502001</v>
      </c>
      <c r="N611" s="3">
        <v>25277212.191502001</v>
      </c>
      <c r="O611" s="6" t="s">
        <v>521</v>
      </c>
      <c r="P611" t="s">
        <v>196</v>
      </c>
      <c r="Q611" s="3">
        <v>83</v>
      </c>
      <c r="R611" s="5">
        <v>0.23055500000000001</v>
      </c>
      <c r="S611" s="6" t="s">
        <v>145</v>
      </c>
      <c r="T611" t="s">
        <v>21</v>
      </c>
    </row>
    <row r="612" spans="1:20" x14ac:dyDescent="0.25">
      <c r="A612" t="s">
        <v>15</v>
      </c>
      <c r="B612" t="s">
        <v>120</v>
      </c>
      <c r="C612" t="s">
        <v>121</v>
      </c>
      <c r="D612" t="s">
        <v>122</v>
      </c>
      <c r="E612" t="s">
        <v>1343</v>
      </c>
      <c r="F612" t="s">
        <v>19</v>
      </c>
      <c r="G612" s="2">
        <v>46126</v>
      </c>
      <c r="H612" s="2">
        <v>46225</v>
      </c>
      <c r="I612" s="3">
        <v>11207947</v>
      </c>
      <c r="J612" t="s">
        <v>20</v>
      </c>
      <c r="K612" s="1">
        <v>46142</v>
      </c>
      <c r="L612" s="3">
        <v>11440960</v>
      </c>
      <c r="M612" s="3">
        <v>11244960.341251999</v>
      </c>
      <c r="N612" s="3">
        <v>11244960.341251999</v>
      </c>
      <c r="O612" s="6" t="s">
        <v>521</v>
      </c>
      <c r="P612" t="s">
        <v>196</v>
      </c>
      <c r="Q612" s="3">
        <v>83</v>
      </c>
      <c r="R612" s="5">
        <v>0.23055500000000001</v>
      </c>
      <c r="S612" s="6" t="s">
        <v>145</v>
      </c>
      <c r="T612" t="s">
        <v>21</v>
      </c>
    </row>
    <row r="613" spans="1:20" x14ac:dyDescent="0.25">
      <c r="A613" t="s">
        <v>15</v>
      </c>
      <c r="B613" t="s">
        <v>120</v>
      </c>
      <c r="C613" t="s">
        <v>121</v>
      </c>
      <c r="D613" t="s">
        <v>122</v>
      </c>
      <c r="E613" t="s">
        <v>39</v>
      </c>
      <c r="F613" t="s">
        <v>19</v>
      </c>
      <c r="G613" s="2">
        <v>46063</v>
      </c>
      <c r="H613" s="2">
        <v>46167</v>
      </c>
      <c r="I613" s="3">
        <v>10925639</v>
      </c>
      <c r="J613" t="s">
        <v>20</v>
      </c>
      <c r="K613" s="1">
        <v>46142</v>
      </c>
      <c r="L613" s="3">
        <v>11067891</v>
      </c>
      <c r="M613" s="3">
        <v>11010088.037802</v>
      </c>
      <c r="N613" s="3">
        <v>11010088.037802</v>
      </c>
      <c r="O613" s="6" t="s">
        <v>150</v>
      </c>
      <c r="P613" t="s">
        <v>196</v>
      </c>
      <c r="Q613" s="3">
        <v>25</v>
      </c>
      <c r="R613" s="5">
        <v>6.9444000000000006E-2</v>
      </c>
      <c r="S613" s="6" t="s">
        <v>143</v>
      </c>
      <c r="T613" t="s">
        <v>21</v>
      </c>
    </row>
    <row r="614" spans="1:20" x14ac:dyDescent="0.25">
      <c r="A614" t="s">
        <v>15</v>
      </c>
      <c r="B614" t="s">
        <v>120</v>
      </c>
      <c r="C614" t="s">
        <v>121</v>
      </c>
      <c r="D614" t="s">
        <v>122</v>
      </c>
      <c r="E614" t="s">
        <v>41</v>
      </c>
      <c r="F614" t="s">
        <v>19</v>
      </c>
      <c r="G614" s="2">
        <v>46064</v>
      </c>
      <c r="H614" s="2">
        <v>46169</v>
      </c>
      <c r="I614" s="3">
        <v>2109521</v>
      </c>
      <c r="J614" t="s">
        <v>20</v>
      </c>
      <c r="K614" s="1">
        <v>46142</v>
      </c>
      <c r="L614" s="3">
        <v>2124140</v>
      </c>
      <c r="M614" s="3">
        <v>2112164.0299499999</v>
      </c>
      <c r="N614" s="3">
        <v>2112164.0299499999</v>
      </c>
      <c r="O614" s="6" t="s">
        <v>521</v>
      </c>
      <c r="P614" t="s">
        <v>196</v>
      </c>
      <c r="Q614" s="3">
        <v>27</v>
      </c>
      <c r="R614" s="5">
        <v>7.4999999999999997E-2</v>
      </c>
      <c r="S614" s="6" t="s">
        <v>143</v>
      </c>
      <c r="T614" t="s">
        <v>21</v>
      </c>
    </row>
    <row r="615" spans="1:20" x14ac:dyDescent="0.25">
      <c r="A615" t="s">
        <v>15</v>
      </c>
      <c r="B615" t="s">
        <v>120</v>
      </c>
      <c r="C615" t="s">
        <v>121</v>
      </c>
      <c r="D615" t="s">
        <v>122</v>
      </c>
      <c r="E615" t="s">
        <v>1346</v>
      </c>
      <c r="F615" t="s">
        <v>19</v>
      </c>
      <c r="G615" s="2">
        <v>46129</v>
      </c>
      <c r="H615" s="2">
        <v>46230</v>
      </c>
      <c r="I615" s="3">
        <v>84918244</v>
      </c>
      <c r="J615" t="s">
        <v>20</v>
      </c>
      <c r="K615" s="1">
        <v>46142</v>
      </c>
      <c r="L615" s="3">
        <v>86719360</v>
      </c>
      <c r="M615" s="3">
        <v>85145864.425418004</v>
      </c>
      <c r="N615" s="3">
        <v>85145864.425418004</v>
      </c>
      <c r="O615" s="6" t="s">
        <v>153</v>
      </c>
      <c r="P615" t="s">
        <v>196</v>
      </c>
      <c r="Q615" s="3">
        <v>88</v>
      </c>
      <c r="R615" s="5">
        <v>0.24444399999999999</v>
      </c>
      <c r="S615" s="6" t="s">
        <v>145</v>
      </c>
      <c r="T615" t="s">
        <v>21</v>
      </c>
    </row>
    <row r="616" spans="1:20" x14ac:dyDescent="0.25">
      <c r="A616" t="s">
        <v>15</v>
      </c>
      <c r="B616" t="s">
        <v>120</v>
      </c>
      <c r="C616" t="s">
        <v>121</v>
      </c>
      <c r="D616" t="s">
        <v>122</v>
      </c>
      <c r="E616" t="s">
        <v>1346</v>
      </c>
      <c r="F616" t="s">
        <v>19</v>
      </c>
      <c r="G616" s="2">
        <v>46129</v>
      </c>
      <c r="H616" s="2">
        <v>46230</v>
      </c>
      <c r="I616" s="3">
        <v>73093514</v>
      </c>
      <c r="J616" t="s">
        <v>20</v>
      </c>
      <c r="K616" s="1">
        <v>46142</v>
      </c>
      <c r="L616" s="3">
        <v>74597779</v>
      </c>
      <c r="M616" s="3">
        <v>73244225.708900005</v>
      </c>
      <c r="N616" s="3">
        <v>73244225.708900005</v>
      </c>
      <c r="O616" s="6" t="s">
        <v>153</v>
      </c>
      <c r="P616" t="s">
        <v>196</v>
      </c>
      <c r="Q616" s="3">
        <v>88</v>
      </c>
      <c r="R616" s="5">
        <v>0.24444399999999999</v>
      </c>
      <c r="S616" s="6" t="s">
        <v>145</v>
      </c>
      <c r="T616" t="s">
        <v>21</v>
      </c>
    </row>
    <row r="617" spans="1:20" x14ac:dyDescent="0.25">
      <c r="A617" t="s">
        <v>15</v>
      </c>
      <c r="B617" t="s">
        <v>120</v>
      </c>
      <c r="C617" t="s">
        <v>121</v>
      </c>
      <c r="D617" t="s">
        <v>122</v>
      </c>
      <c r="E617" t="s">
        <v>1346</v>
      </c>
      <c r="F617" t="s">
        <v>19</v>
      </c>
      <c r="G617" s="2">
        <v>46129</v>
      </c>
      <c r="H617" s="2">
        <v>46230</v>
      </c>
      <c r="I617" s="3">
        <v>27243250</v>
      </c>
      <c r="J617" t="s">
        <v>20</v>
      </c>
      <c r="K617" s="1">
        <v>46142</v>
      </c>
      <c r="L617" s="3">
        <v>27803916</v>
      </c>
      <c r="M617" s="3">
        <v>27299422.669075001</v>
      </c>
      <c r="N617" s="3">
        <v>27299422.669075001</v>
      </c>
      <c r="O617" s="6" t="s">
        <v>153</v>
      </c>
      <c r="P617" t="s">
        <v>196</v>
      </c>
      <c r="Q617" s="3">
        <v>88</v>
      </c>
      <c r="R617" s="5">
        <v>0.24444399999999999</v>
      </c>
      <c r="S617" s="6" t="s">
        <v>145</v>
      </c>
      <c r="T617" t="s">
        <v>21</v>
      </c>
    </row>
    <row r="618" spans="1:20" x14ac:dyDescent="0.25">
      <c r="A618" t="s">
        <v>15</v>
      </c>
      <c r="B618" t="s">
        <v>120</v>
      </c>
      <c r="C618" t="s">
        <v>121</v>
      </c>
      <c r="D618" t="s">
        <v>122</v>
      </c>
      <c r="E618" t="s">
        <v>62</v>
      </c>
      <c r="F618" t="s">
        <v>19</v>
      </c>
      <c r="G618" s="2">
        <v>46069</v>
      </c>
      <c r="H618" s="2">
        <v>46170</v>
      </c>
      <c r="I618" s="3">
        <v>17294588</v>
      </c>
      <c r="J618" t="s">
        <v>20</v>
      </c>
      <c r="K618" s="1">
        <v>46142</v>
      </c>
      <c r="L618" s="3">
        <v>17530659</v>
      </c>
      <c r="M618" s="3">
        <v>17428181.293990999</v>
      </c>
      <c r="N618" s="3">
        <v>17428181.293990999</v>
      </c>
      <c r="O618" s="6" t="s">
        <v>169</v>
      </c>
      <c r="P618" t="s">
        <v>196</v>
      </c>
      <c r="Q618" s="3">
        <v>28</v>
      </c>
      <c r="R618" s="5">
        <v>7.7776999999999999E-2</v>
      </c>
      <c r="S618" s="6" t="s">
        <v>143</v>
      </c>
      <c r="T618" t="s">
        <v>21</v>
      </c>
    </row>
    <row r="619" spans="1:20" x14ac:dyDescent="0.25">
      <c r="A619" t="s">
        <v>15</v>
      </c>
      <c r="B619" t="s">
        <v>120</v>
      </c>
      <c r="C619" t="s">
        <v>121</v>
      </c>
      <c r="D619" t="s">
        <v>122</v>
      </c>
      <c r="E619" t="s">
        <v>1347</v>
      </c>
      <c r="F619" t="s">
        <v>19</v>
      </c>
      <c r="G619" s="2">
        <v>46133</v>
      </c>
      <c r="H619" s="2">
        <v>46232</v>
      </c>
      <c r="I619" s="3">
        <v>11277400</v>
      </c>
      <c r="J619" t="s">
        <v>20</v>
      </c>
      <c r="K619" s="1">
        <v>46142</v>
      </c>
      <c r="L619" s="3">
        <v>11511857</v>
      </c>
      <c r="M619" s="3">
        <v>11298318.775149999</v>
      </c>
      <c r="N619" s="3">
        <v>11298318.775149999</v>
      </c>
      <c r="O619" s="6" t="s">
        <v>153</v>
      </c>
      <c r="P619" t="s">
        <v>196</v>
      </c>
      <c r="Q619" s="3">
        <v>90</v>
      </c>
      <c r="R619" s="5">
        <v>0.25</v>
      </c>
      <c r="S619" s="6" t="s">
        <v>145</v>
      </c>
      <c r="T619" t="s">
        <v>21</v>
      </c>
    </row>
    <row r="620" spans="1:20" x14ac:dyDescent="0.25">
      <c r="A620" t="s">
        <v>15</v>
      </c>
      <c r="B620" t="s">
        <v>120</v>
      </c>
      <c r="C620" t="s">
        <v>121</v>
      </c>
      <c r="D620" t="s">
        <v>122</v>
      </c>
      <c r="E620" t="s">
        <v>43</v>
      </c>
      <c r="F620" t="s">
        <v>19</v>
      </c>
      <c r="G620" s="2">
        <v>46043</v>
      </c>
      <c r="H620" s="2">
        <v>46146</v>
      </c>
      <c r="I620" s="3">
        <v>10879449</v>
      </c>
      <c r="J620" t="s">
        <v>20</v>
      </c>
      <c r="K620" s="1">
        <v>46142</v>
      </c>
      <c r="L620" s="3">
        <v>10973121</v>
      </c>
      <c r="M620" s="3">
        <v>10963911.314495999</v>
      </c>
      <c r="N620" s="3">
        <v>10963911.314495999</v>
      </c>
      <c r="O620" s="6"/>
      <c r="P620" t="s">
        <v>196</v>
      </c>
      <c r="Q620" s="3">
        <v>4</v>
      </c>
      <c r="R620" s="5">
        <v>1.1110999999999999E-2</v>
      </c>
      <c r="S620" s="6" t="s">
        <v>143</v>
      </c>
      <c r="T620" t="s">
        <v>21</v>
      </c>
    </row>
    <row r="621" spans="1:20" x14ac:dyDescent="0.25">
      <c r="A621" t="s">
        <v>15</v>
      </c>
      <c r="B621" t="s">
        <v>120</v>
      </c>
      <c r="C621" t="s">
        <v>121</v>
      </c>
      <c r="D621" t="s">
        <v>122</v>
      </c>
      <c r="E621" t="s">
        <v>45</v>
      </c>
      <c r="F621" t="s">
        <v>19</v>
      </c>
      <c r="G621" s="2">
        <v>46050</v>
      </c>
      <c r="H621" s="2">
        <v>46153</v>
      </c>
      <c r="I621" s="3">
        <v>70000000</v>
      </c>
      <c r="J621" t="s">
        <v>20</v>
      </c>
      <c r="K621" s="1">
        <v>46142</v>
      </c>
      <c r="L621" s="3">
        <v>70470400</v>
      </c>
      <c r="M621" s="3">
        <v>70307988.546458006</v>
      </c>
      <c r="N621" s="3">
        <v>70307988.546458006</v>
      </c>
      <c r="O621" s="6"/>
      <c r="P621" t="s">
        <v>196</v>
      </c>
      <c r="Q621" s="3">
        <v>11</v>
      </c>
      <c r="R621" s="5">
        <v>3.0554999999999999E-2</v>
      </c>
      <c r="S621" s="6" t="s">
        <v>143</v>
      </c>
      <c r="T621" t="s">
        <v>21</v>
      </c>
    </row>
    <row r="622" spans="1:20" x14ac:dyDescent="0.25">
      <c r="A622" t="s">
        <v>15</v>
      </c>
      <c r="B622" t="s">
        <v>120</v>
      </c>
      <c r="C622" t="s">
        <v>121</v>
      </c>
      <c r="D622" t="s">
        <v>122</v>
      </c>
      <c r="E622" t="s">
        <v>47</v>
      </c>
      <c r="F622" t="s">
        <v>19</v>
      </c>
      <c r="G622" s="2">
        <v>46052</v>
      </c>
      <c r="H622" s="2">
        <v>46155</v>
      </c>
      <c r="I622" s="3">
        <v>387343044</v>
      </c>
      <c r="J622" t="s">
        <v>20</v>
      </c>
      <c r="K622" s="1">
        <v>46142</v>
      </c>
      <c r="L622" s="3">
        <v>391979540</v>
      </c>
      <c r="M622" s="3">
        <v>390912349.286448</v>
      </c>
      <c r="N622" s="3">
        <v>390912349.286448</v>
      </c>
      <c r="O622" s="6" t="s">
        <v>1282</v>
      </c>
      <c r="P622" t="s">
        <v>201</v>
      </c>
      <c r="Q622" s="3">
        <v>13</v>
      </c>
      <c r="R622" s="5">
        <v>3.6110999999999997E-2</v>
      </c>
      <c r="S622" s="6" t="s">
        <v>143</v>
      </c>
      <c r="T622" t="s">
        <v>21</v>
      </c>
    </row>
    <row r="623" spans="1:20" x14ac:dyDescent="0.25">
      <c r="A623" t="s">
        <v>15</v>
      </c>
      <c r="B623" t="s">
        <v>120</v>
      </c>
      <c r="C623" t="s">
        <v>121</v>
      </c>
      <c r="D623" t="s">
        <v>122</v>
      </c>
      <c r="E623" t="s">
        <v>47</v>
      </c>
      <c r="F623" t="s">
        <v>19</v>
      </c>
      <c r="G623" s="2">
        <v>46052</v>
      </c>
      <c r="H623" s="2">
        <v>46155</v>
      </c>
      <c r="I623" s="3">
        <v>18000000</v>
      </c>
      <c r="J623" t="s">
        <v>20</v>
      </c>
      <c r="K623" s="1">
        <v>46142</v>
      </c>
      <c r="L623" s="3">
        <v>18113400</v>
      </c>
      <c r="M623" s="3">
        <v>18064085.047819</v>
      </c>
      <c r="N623" s="3">
        <v>18064085.047819</v>
      </c>
      <c r="O623" s="6" t="s">
        <v>1282</v>
      </c>
      <c r="P623" t="s">
        <v>201</v>
      </c>
      <c r="Q623" s="3">
        <v>13</v>
      </c>
      <c r="R623" s="5">
        <v>3.6110999999999997E-2</v>
      </c>
      <c r="S623" s="6" t="s">
        <v>143</v>
      </c>
      <c r="T623" t="s">
        <v>21</v>
      </c>
    </row>
    <row r="624" spans="1:20" x14ac:dyDescent="0.25">
      <c r="A624" t="s">
        <v>15</v>
      </c>
      <c r="B624" t="s">
        <v>120</v>
      </c>
      <c r="C624" t="s">
        <v>121</v>
      </c>
      <c r="D624" t="s">
        <v>122</v>
      </c>
      <c r="E624" t="s">
        <v>1319</v>
      </c>
      <c r="F624" t="s">
        <v>19</v>
      </c>
      <c r="G624" s="2">
        <v>46100</v>
      </c>
      <c r="H624" s="2">
        <v>46198</v>
      </c>
      <c r="I624" s="3">
        <v>25000000</v>
      </c>
      <c r="J624" t="s">
        <v>20</v>
      </c>
      <c r="K624" s="1">
        <v>46142</v>
      </c>
      <c r="L624" s="3">
        <v>25325500</v>
      </c>
      <c r="M624" s="3">
        <v>25031133.865738999</v>
      </c>
      <c r="N624" s="3">
        <v>25031133.865738999</v>
      </c>
      <c r="O624" s="6"/>
      <c r="P624" t="s">
        <v>196</v>
      </c>
      <c r="Q624" s="3">
        <v>56</v>
      </c>
      <c r="R624" s="5">
        <v>0.155555</v>
      </c>
      <c r="S624" s="6" t="s">
        <v>145</v>
      </c>
      <c r="T624" t="s">
        <v>21</v>
      </c>
    </row>
    <row r="625" spans="1:20" x14ac:dyDescent="0.25">
      <c r="A625" t="s">
        <v>15</v>
      </c>
      <c r="B625" t="s">
        <v>120</v>
      </c>
      <c r="C625" t="s">
        <v>121</v>
      </c>
      <c r="D625" t="s">
        <v>122</v>
      </c>
      <c r="E625" t="s">
        <v>1335</v>
      </c>
      <c r="F625" t="s">
        <v>19</v>
      </c>
      <c r="G625" s="2">
        <v>46129</v>
      </c>
      <c r="H625" s="2">
        <v>46230</v>
      </c>
      <c r="I625" s="3">
        <v>100630000</v>
      </c>
      <c r="J625" t="s">
        <v>20</v>
      </c>
      <c r="K625" s="1">
        <v>46142</v>
      </c>
      <c r="L625" s="3">
        <v>102764362</v>
      </c>
      <c r="M625" s="3">
        <v>100899734.899065</v>
      </c>
      <c r="N625" s="3">
        <v>100899734.899065</v>
      </c>
      <c r="O625" s="6" t="s">
        <v>1336</v>
      </c>
      <c r="P625" t="s">
        <v>196</v>
      </c>
      <c r="Q625" s="3">
        <v>88</v>
      </c>
      <c r="R625" s="5">
        <v>0.24444399999999999</v>
      </c>
      <c r="S625" s="6" t="s">
        <v>145</v>
      </c>
      <c r="T625" t="s">
        <v>21</v>
      </c>
    </row>
    <row r="626" spans="1:20" x14ac:dyDescent="0.25">
      <c r="A626" t="s">
        <v>15</v>
      </c>
      <c r="B626" t="s">
        <v>1322</v>
      </c>
      <c r="C626" t="s">
        <v>1323</v>
      </c>
      <c r="D626" t="s">
        <v>1324</v>
      </c>
      <c r="E626" t="s">
        <v>30</v>
      </c>
      <c r="F626" t="s">
        <v>19</v>
      </c>
      <c r="G626" s="2">
        <v>46076</v>
      </c>
      <c r="H626" s="2">
        <v>46174</v>
      </c>
      <c r="I626" s="3">
        <v>19000000</v>
      </c>
      <c r="J626" t="s">
        <v>20</v>
      </c>
      <c r="K626" s="1">
        <v>46142</v>
      </c>
      <c r="L626" s="3">
        <v>19279300</v>
      </c>
      <c r="M626" s="3">
        <v>19150607.914811999</v>
      </c>
      <c r="N626" s="3">
        <v>19150607.914811999</v>
      </c>
      <c r="O626" s="6" t="s">
        <v>452</v>
      </c>
      <c r="P626" t="s">
        <v>196</v>
      </c>
      <c r="Q626" s="3">
        <v>32</v>
      </c>
      <c r="R626" s="5">
        <v>8.8887999999999995E-2</v>
      </c>
      <c r="S626" s="6" t="s">
        <v>145</v>
      </c>
      <c r="T626" t="s">
        <v>21</v>
      </c>
    </row>
    <row r="627" spans="1:20" x14ac:dyDescent="0.25">
      <c r="A627" t="s">
        <v>15</v>
      </c>
      <c r="B627" t="s">
        <v>1322</v>
      </c>
      <c r="C627" t="s">
        <v>1323</v>
      </c>
      <c r="D627" t="s">
        <v>1324</v>
      </c>
      <c r="E627" t="s">
        <v>1292</v>
      </c>
      <c r="F627" t="s">
        <v>19</v>
      </c>
      <c r="G627" s="2">
        <v>46083</v>
      </c>
      <c r="H627" s="2">
        <v>46178</v>
      </c>
      <c r="I627" s="3">
        <v>26274552</v>
      </c>
      <c r="J627" t="s">
        <v>20</v>
      </c>
      <c r="K627" s="1">
        <v>46142</v>
      </c>
      <c r="L627" s="3">
        <v>26671823</v>
      </c>
      <c r="M627" s="3">
        <v>26471696.970899999</v>
      </c>
      <c r="N627" s="3">
        <v>26471696.970899999</v>
      </c>
      <c r="O627" s="6" t="s">
        <v>283</v>
      </c>
      <c r="P627" t="s">
        <v>196</v>
      </c>
      <c r="Q627" s="3">
        <v>36</v>
      </c>
      <c r="R627" s="5">
        <v>0.1</v>
      </c>
      <c r="S627" s="6" t="s">
        <v>145</v>
      </c>
      <c r="T627" t="s">
        <v>21</v>
      </c>
    </row>
    <row r="628" spans="1:20" x14ac:dyDescent="0.25">
      <c r="A628" t="s">
        <v>15</v>
      </c>
      <c r="B628" t="s">
        <v>1322</v>
      </c>
      <c r="C628" t="s">
        <v>1323</v>
      </c>
      <c r="D628" t="s">
        <v>1324</v>
      </c>
      <c r="E628" t="s">
        <v>1293</v>
      </c>
      <c r="F628" t="s">
        <v>19</v>
      </c>
      <c r="G628" s="2">
        <v>46108</v>
      </c>
      <c r="H628" s="2">
        <v>46209</v>
      </c>
      <c r="I628" s="3">
        <v>24569911</v>
      </c>
      <c r="J628" t="s">
        <v>20</v>
      </c>
      <c r="K628" s="1">
        <v>46142</v>
      </c>
      <c r="L628" s="3">
        <v>24931089</v>
      </c>
      <c r="M628" s="3">
        <v>24585175.579595</v>
      </c>
      <c r="N628" s="3">
        <v>24585175.579595</v>
      </c>
      <c r="O628" s="6" t="s">
        <v>521</v>
      </c>
      <c r="P628" t="s">
        <v>196</v>
      </c>
      <c r="Q628" s="3">
        <v>67</v>
      </c>
      <c r="R628" s="5">
        <v>0.186111</v>
      </c>
      <c r="S628" s="6" t="s">
        <v>145</v>
      </c>
      <c r="T628" t="s">
        <v>21</v>
      </c>
    </row>
    <row r="629" spans="1:20" x14ac:dyDescent="0.25">
      <c r="A629" t="s">
        <v>15</v>
      </c>
      <c r="B629" t="s">
        <v>1322</v>
      </c>
      <c r="C629" t="s">
        <v>1323</v>
      </c>
      <c r="D629" t="s">
        <v>1324</v>
      </c>
      <c r="E629" t="s">
        <v>61</v>
      </c>
      <c r="F629" t="s">
        <v>19</v>
      </c>
      <c r="G629" s="2">
        <v>46049</v>
      </c>
      <c r="H629" s="2">
        <v>46150</v>
      </c>
      <c r="I629" s="3">
        <v>35697790</v>
      </c>
      <c r="J629" t="s">
        <v>20</v>
      </c>
      <c r="K629" s="1">
        <v>46142</v>
      </c>
      <c r="L629" s="3">
        <v>35870210</v>
      </c>
      <c r="M629" s="3">
        <v>35810049.117482997</v>
      </c>
      <c r="N629" s="3">
        <v>35810049.117482997</v>
      </c>
      <c r="O629" s="6" t="s">
        <v>521</v>
      </c>
      <c r="P629" t="s">
        <v>196</v>
      </c>
      <c r="Q629" s="3">
        <v>8</v>
      </c>
      <c r="R629" s="5">
        <v>2.2221999999999999E-2</v>
      </c>
      <c r="S629" s="6" t="s">
        <v>143</v>
      </c>
      <c r="T629" t="s">
        <v>21</v>
      </c>
    </row>
    <row r="630" spans="1:20" x14ac:dyDescent="0.25">
      <c r="A630" t="s">
        <v>15</v>
      </c>
      <c r="B630" t="s">
        <v>1322</v>
      </c>
      <c r="C630" t="s">
        <v>1323</v>
      </c>
      <c r="D630" t="s">
        <v>1324</v>
      </c>
      <c r="E630" t="s">
        <v>24</v>
      </c>
      <c r="F630" t="s">
        <v>19</v>
      </c>
      <c r="G630" s="2">
        <v>46051</v>
      </c>
      <c r="H630" s="2">
        <v>46155</v>
      </c>
      <c r="I630" s="3">
        <v>4072206</v>
      </c>
      <c r="J630" t="s">
        <v>20</v>
      </c>
      <c r="K630" s="1">
        <v>46142</v>
      </c>
      <c r="L630" s="3">
        <v>4103847</v>
      </c>
      <c r="M630" s="3">
        <v>4092673.9999799998</v>
      </c>
      <c r="N630" s="3">
        <v>4092673.9999799998</v>
      </c>
      <c r="O630" s="6" t="s">
        <v>452</v>
      </c>
      <c r="P630" t="s">
        <v>196</v>
      </c>
      <c r="Q630" s="3">
        <v>13</v>
      </c>
      <c r="R630" s="5">
        <v>3.6110999999999997E-2</v>
      </c>
      <c r="S630" s="6" t="s">
        <v>143</v>
      </c>
      <c r="T630" t="s">
        <v>21</v>
      </c>
    </row>
    <row r="631" spans="1:20" x14ac:dyDescent="0.25">
      <c r="A631" t="s">
        <v>15</v>
      </c>
      <c r="B631" t="s">
        <v>1322</v>
      </c>
      <c r="C631" t="s">
        <v>1323</v>
      </c>
      <c r="D631" t="s">
        <v>1324</v>
      </c>
      <c r="E631" t="s">
        <v>25</v>
      </c>
      <c r="F631" t="s">
        <v>19</v>
      </c>
      <c r="G631" s="2">
        <v>46051</v>
      </c>
      <c r="H631" s="2">
        <v>46156</v>
      </c>
      <c r="I631" s="3">
        <v>3272097</v>
      </c>
      <c r="J631" t="s">
        <v>20</v>
      </c>
      <c r="K631" s="1">
        <v>46142</v>
      </c>
      <c r="L631" s="3">
        <v>3292024</v>
      </c>
      <c r="M631" s="3">
        <v>3282373.8209660002</v>
      </c>
      <c r="N631" s="3">
        <v>3282373.8209660002</v>
      </c>
      <c r="O631" s="6" t="s">
        <v>452</v>
      </c>
      <c r="P631" t="s">
        <v>196</v>
      </c>
      <c r="Q631" s="3">
        <v>14</v>
      </c>
      <c r="R631" s="5">
        <v>3.8887999999999999E-2</v>
      </c>
      <c r="S631" s="6" t="s">
        <v>143</v>
      </c>
      <c r="T631" t="s">
        <v>21</v>
      </c>
    </row>
    <row r="632" spans="1:20" x14ac:dyDescent="0.25">
      <c r="A632" t="s">
        <v>15</v>
      </c>
      <c r="B632" t="s">
        <v>1322</v>
      </c>
      <c r="C632" t="s">
        <v>1323</v>
      </c>
      <c r="D632" t="s">
        <v>1324</v>
      </c>
      <c r="E632" t="s">
        <v>26</v>
      </c>
      <c r="F632" t="s">
        <v>19</v>
      </c>
      <c r="G632" s="2">
        <v>46052</v>
      </c>
      <c r="H632" s="2">
        <v>46157</v>
      </c>
      <c r="I632" s="3">
        <v>3000000</v>
      </c>
      <c r="J632" t="s">
        <v>20</v>
      </c>
      <c r="K632" s="1">
        <v>46142</v>
      </c>
      <c r="L632" s="3">
        <v>3032130</v>
      </c>
      <c r="M632" s="3">
        <v>3022608.7823359999</v>
      </c>
      <c r="N632" s="3">
        <v>3022608.7823359999</v>
      </c>
      <c r="O632" s="6" t="s">
        <v>521</v>
      </c>
      <c r="P632" t="s">
        <v>196</v>
      </c>
      <c r="Q632" s="3">
        <v>15</v>
      </c>
      <c r="R632" s="5">
        <v>4.1666000000000002E-2</v>
      </c>
      <c r="S632" s="6" t="s">
        <v>143</v>
      </c>
      <c r="T632" t="s">
        <v>21</v>
      </c>
    </row>
    <row r="633" spans="1:20" x14ac:dyDescent="0.25">
      <c r="A633" t="s">
        <v>15</v>
      </c>
      <c r="B633" t="s">
        <v>1322</v>
      </c>
      <c r="C633" t="s">
        <v>1323</v>
      </c>
      <c r="D633" t="s">
        <v>1324</v>
      </c>
      <c r="E633" t="s">
        <v>1296</v>
      </c>
      <c r="F633" t="s">
        <v>19</v>
      </c>
      <c r="G633" s="2">
        <v>46092</v>
      </c>
      <c r="H633" s="2">
        <v>46190</v>
      </c>
      <c r="I633" s="3">
        <v>34785376</v>
      </c>
      <c r="J633" t="s">
        <v>20</v>
      </c>
      <c r="K633" s="1">
        <v>46142</v>
      </c>
      <c r="L633" s="3">
        <v>35384380</v>
      </c>
      <c r="M633" s="3">
        <v>35031264.850308999</v>
      </c>
      <c r="N633" s="3">
        <v>35031264.850308999</v>
      </c>
      <c r="O633" s="6" t="s">
        <v>454</v>
      </c>
      <c r="P633" t="s">
        <v>196</v>
      </c>
      <c r="Q633" s="3">
        <v>48</v>
      </c>
      <c r="R633" s="5">
        <v>0.13333300000000001</v>
      </c>
      <c r="S633" s="6" t="s">
        <v>145</v>
      </c>
      <c r="T633" t="s">
        <v>21</v>
      </c>
    </row>
    <row r="634" spans="1:20" x14ac:dyDescent="0.25">
      <c r="A634" t="s">
        <v>15</v>
      </c>
      <c r="B634" t="s">
        <v>1322</v>
      </c>
      <c r="C634" t="s">
        <v>1323</v>
      </c>
      <c r="D634" t="s">
        <v>1324</v>
      </c>
      <c r="E634" t="s">
        <v>27</v>
      </c>
      <c r="F634" t="s">
        <v>19</v>
      </c>
      <c r="G634" s="2">
        <v>46052</v>
      </c>
      <c r="H634" s="2">
        <v>46160</v>
      </c>
      <c r="I634" s="3">
        <v>11027154</v>
      </c>
      <c r="J634" t="s">
        <v>20</v>
      </c>
      <c r="K634" s="1">
        <v>46142</v>
      </c>
      <c r="L634" s="3">
        <v>11101256</v>
      </c>
      <c r="M634" s="3">
        <v>11059451.274184</v>
      </c>
      <c r="N634" s="3">
        <v>11059451.274184</v>
      </c>
      <c r="O634" s="6" t="s">
        <v>452</v>
      </c>
      <c r="P634" t="s">
        <v>196</v>
      </c>
      <c r="Q634" s="3">
        <v>18</v>
      </c>
      <c r="R634" s="5">
        <v>0.05</v>
      </c>
      <c r="S634" s="6" t="s">
        <v>143</v>
      </c>
      <c r="T634" t="s">
        <v>21</v>
      </c>
    </row>
    <row r="635" spans="1:20" x14ac:dyDescent="0.25">
      <c r="A635" t="s">
        <v>15</v>
      </c>
      <c r="B635" t="s">
        <v>1322</v>
      </c>
      <c r="C635" t="s">
        <v>1323</v>
      </c>
      <c r="D635" t="s">
        <v>1324</v>
      </c>
      <c r="E635" t="s">
        <v>1297</v>
      </c>
      <c r="F635" t="s">
        <v>19</v>
      </c>
      <c r="G635" s="2">
        <v>46093</v>
      </c>
      <c r="H635" s="2">
        <v>46191</v>
      </c>
      <c r="I635" s="3">
        <v>16353110</v>
      </c>
      <c r="J635" t="s">
        <v>20</v>
      </c>
      <c r="K635" s="1">
        <v>46142</v>
      </c>
      <c r="L635" s="3">
        <v>16552291</v>
      </c>
      <c r="M635" s="3">
        <v>16383702.699224999</v>
      </c>
      <c r="N635" s="3">
        <v>16383702.699224999</v>
      </c>
      <c r="O635" s="6" t="s">
        <v>454</v>
      </c>
      <c r="P635" t="s">
        <v>196</v>
      </c>
      <c r="Q635" s="3">
        <v>49</v>
      </c>
      <c r="R635" s="5">
        <v>0.13611100000000001</v>
      </c>
      <c r="S635" s="6" t="s">
        <v>145</v>
      </c>
      <c r="T635" t="s">
        <v>21</v>
      </c>
    </row>
    <row r="636" spans="1:20" x14ac:dyDescent="0.25">
      <c r="A636" t="s">
        <v>15</v>
      </c>
      <c r="B636" t="s">
        <v>1322</v>
      </c>
      <c r="C636" t="s">
        <v>1323</v>
      </c>
      <c r="D636" t="s">
        <v>1324</v>
      </c>
      <c r="E636" t="s">
        <v>28</v>
      </c>
      <c r="F636" t="s">
        <v>19</v>
      </c>
      <c r="G636" s="2">
        <v>46062</v>
      </c>
      <c r="H636" s="2">
        <v>46164</v>
      </c>
      <c r="I636" s="3">
        <v>11043881</v>
      </c>
      <c r="J636" t="s">
        <v>20</v>
      </c>
      <c r="K636" s="1">
        <v>46142</v>
      </c>
      <c r="L636" s="3">
        <v>11127373</v>
      </c>
      <c r="M636" s="3">
        <v>11076200.951603999</v>
      </c>
      <c r="N636" s="3">
        <v>11076200.951603999</v>
      </c>
      <c r="O636" s="6" t="s">
        <v>1333</v>
      </c>
      <c r="P636" t="s">
        <v>196</v>
      </c>
      <c r="Q636" s="3">
        <v>22</v>
      </c>
      <c r="R636" s="5">
        <v>6.1110999999999999E-2</v>
      </c>
      <c r="S636" s="6" t="s">
        <v>143</v>
      </c>
      <c r="T636" t="s">
        <v>21</v>
      </c>
    </row>
    <row r="637" spans="1:20" x14ac:dyDescent="0.25">
      <c r="A637" t="s">
        <v>15</v>
      </c>
      <c r="B637" t="s">
        <v>1322</v>
      </c>
      <c r="C637" t="s">
        <v>1323</v>
      </c>
      <c r="D637" t="s">
        <v>1324</v>
      </c>
      <c r="E637" t="s">
        <v>29</v>
      </c>
      <c r="F637" t="s">
        <v>19</v>
      </c>
      <c r="G637" s="2">
        <v>46080</v>
      </c>
      <c r="H637" s="2">
        <v>46171</v>
      </c>
      <c r="I637" s="3">
        <v>3419084</v>
      </c>
      <c r="J637" t="s">
        <v>20</v>
      </c>
      <c r="K637" s="1">
        <v>46142</v>
      </c>
      <c r="L637" s="3">
        <v>3455702</v>
      </c>
      <c r="M637" s="3">
        <v>3434784.1644390002</v>
      </c>
      <c r="N637" s="3">
        <v>3434784.1644390002</v>
      </c>
      <c r="O637" s="6" t="s">
        <v>140</v>
      </c>
      <c r="P637" t="s">
        <v>201</v>
      </c>
      <c r="Q637" s="3">
        <v>29</v>
      </c>
      <c r="R637" s="5">
        <v>8.0555000000000002E-2</v>
      </c>
      <c r="S637" s="6" t="s">
        <v>143</v>
      </c>
      <c r="T637" t="s">
        <v>21</v>
      </c>
    </row>
    <row r="638" spans="1:20" x14ac:dyDescent="0.25">
      <c r="A638" t="s">
        <v>15</v>
      </c>
      <c r="B638" t="s">
        <v>1322</v>
      </c>
      <c r="C638" t="s">
        <v>1323</v>
      </c>
      <c r="D638" t="s">
        <v>1324</v>
      </c>
      <c r="E638" t="s">
        <v>29</v>
      </c>
      <c r="F638" t="s">
        <v>19</v>
      </c>
      <c r="G638" s="2">
        <v>46080</v>
      </c>
      <c r="H638" s="2">
        <v>46171</v>
      </c>
      <c r="I638" s="3">
        <v>35021604</v>
      </c>
      <c r="J638" t="s">
        <v>20</v>
      </c>
      <c r="K638" s="1">
        <v>46142</v>
      </c>
      <c r="L638" s="3">
        <v>35499649</v>
      </c>
      <c r="M638" s="3">
        <v>35284764.782475002</v>
      </c>
      <c r="N638" s="3">
        <v>35284764.782475002</v>
      </c>
      <c r="O638" s="6" t="s">
        <v>140</v>
      </c>
      <c r="P638" t="s">
        <v>201</v>
      </c>
      <c r="Q638" s="3">
        <v>29</v>
      </c>
      <c r="R638" s="5">
        <v>8.0555000000000002E-2</v>
      </c>
      <c r="S638" s="6" t="s">
        <v>143</v>
      </c>
      <c r="T638" t="s">
        <v>21</v>
      </c>
    </row>
    <row r="639" spans="1:20" x14ac:dyDescent="0.25">
      <c r="A639" t="s">
        <v>15</v>
      </c>
      <c r="B639" t="s">
        <v>1322</v>
      </c>
      <c r="C639" t="s">
        <v>1323</v>
      </c>
      <c r="D639" t="s">
        <v>1324</v>
      </c>
      <c r="E639" t="s">
        <v>1334</v>
      </c>
      <c r="F639" t="s">
        <v>19</v>
      </c>
      <c r="G639" s="2">
        <v>46140</v>
      </c>
      <c r="H639" s="2">
        <v>46239</v>
      </c>
      <c r="I639" s="3">
        <v>2013440</v>
      </c>
      <c r="J639" t="s">
        <v>20</v>
      </c>
      <c r="K639" s="1">
        <v>46142</v>
      </c>
      <c r="L639" s="3">
        <v>2055299</v>
      </c>
      <c r="M639" s="3">
        <v>2014268.3536360001</v>
      </c>
      <c r="N639" s="3">
        <v>2014268.3536360001</v>
      </c>
      <c r="O639" s="6" t="s">
        <v>164</v>
      </c>
      <c r="P639" t="s">
        <v>196</v>
      </c>
      <c r="Q639" s="3">
        <v>97</v>
      </c>
      <c r="R639" s="5">
        <v>0.26944400000000002</v>
      </c>
      <c r="S639" s="6" t="s">
        <v>141</v>
      </c>
      <c r="T639" t="s">
        <v>21</v>
      </c>
    </row>
    <row r="640" spans="1:20" x14ac:dyDescent="0.25">
      <c r="A640" t="s">
        <v>15</v>
      </c>
      <c r="B640" t="s">
        <v>1322</v>
      </c>
      <c r="C640" t="s">
        <v>1323</v>
      </c>
      <c r="D640" t="s">
        <v>1324</v>
      </c>
      <c r="E640" t="s">
        <v>1353</v>
      </c>
      <c r="F640" t="s">
        <v>19</v>
      </c>
      <c r="G640" s="2">
        <v>46142</v>
      </c>
      <c r="H640" s="2">
        <v>46246</v>
      </c>
      <c r="I640" s="3">
        <v>4116220</v>
      </c>
      <c r="J640" t="s">
        <v>20</v>
      </c>
      <c r="K640" s="1">
        <v>46142</v>
      </c>
      <c r="L640" s="3">
        <v>4206118</v>
      </c>
      <c r="M640" s="3">
        <v>4116219.7604319998</v>
      </c>
      <c r="N640" s="3">
        <v>4116219.7604319998</v>
      </c>
      <c r="O640" s="6" t="s">
        <v>1274</v>
      </c>
      <c r="P640" t="s">
        <v>201</v>
      </c>
      <c r="Q640" s="3">
        <v>104</v>
      </c>
      <c r="R640" s="5">
        <v>0.28888799999999998</v>
      </c>
      <c r="S640" s="6" t="s">
        <v>141</v>
      </c>
      <c r="T640" t="s">
        <v>21</v>
      </c>
    </row>
    <row r="641" spans="1:20" x14ac:dyDescent="0.25">
      <c r="A641" t="s">
        <v>15</v>
      </c>
      <c r="B641" t="s">
        <v>1322</v>
      </c>
      <c r="C641" t="s">
        <v>1323</v>
      </c>
      <c r="D641" t="s">
        <v>1324</v>
      </c>
      <c r="E641" t="s">
        <v>47</v>
      </c>
      <c r="F641" t="s">
        <v>19</v>
      </c>
      <c r="G641" s="2">
        <v>46052</v>
      </c>
      <c r="H641" s="2">
        <v>46155</v>
      </c>
      <c r="I641" s="3">
        <v>12000000</v>
      </c>
      <c r="J641" t="s">
        <v>20</v>
      </c>
      <c r="K641" s="1">
        <v>46142</v>
      </c>
      <c r="L641" s="3">
        <v>12075600</v>
      </c>
      <c r="M641" s="3">
        <v>12042723.365212999</v>
      </c>
      <c r="N641" s="3">
        <v>12042723.365212999</v>
      </c>
      <c r="O641" s="6" t="s">
        <v>1282</v>
      </c>
      <c r="P641" t="s">
        <v>201</v>
      </c>
      <c r="Q641" s="3">
        <v>13</v>
      </c>
      <c r="R641" s="5">
        <v>3.6110999999999997E-2</v>
      </c>
      <c r="S641" s="6" t="s">
        <v>143</v>
      </c>
      <c r="T641" t="s">
        <v>21</v>
      </c>
    </row>
    <row r="642" spans="1:20" x14ac:dyDescent="0.25">
      <c r="A642" t="s">
        <v>15</v>
      </c>
      <c r="B642" t="s">
        <v>1322</v>
      </c>
      <c r="C642" t="s">
        <v>1323</v>
      </c>
      <c r="D642" t="s">
        <v>1324</v>
      </c>
      <c r="E642" t="s">
        <v>1335</v>
      </c>
      <c r="F642" t="s">
        <v>19</v>
      </c>
      <c r="G642" s="2">
        <v>46129</v>
      </c>
      <c r="H642" s="2">
        <v>46230</v>
      </c>
      <c r="I642" s="3">
        <v>4026040</v>
      </c>
      <c r="J642" t="s">
        <v>20</v>
      </c>
      <c r="K642" s="1">
        <v>46142</v>
      </c>
      <c r="L642" s="3">
        <v>4108896</v>
      </c>
      <c r="M642" s="3">
        <v>4034341.371456</v>
      </c>
      <c r="N642" s="3">
        <v>4034341.371456</v>
      </c>
      <c r="O642" s="6" t="s">
        <v>1336</v>
      </c>
      <c r="P642" t="s">
        <v>196</v>
      </c>
      <c r="Q642" s="3">
        <v>88</v>
      </c>
      <c r="R642" s="5">
        <v>0.24444399999999999</v>
      </c>
      <c r="S642" s="6" t="s">
        <v>145</v>
      </c>
      <c r="T642" t="s">
        <v>21</v>
      </c>
    </row>
    <row r="643" spans="1:20" x14ac:dyDescent="0.25">
      <c r="A643" t="s">
        <v>15</v>
      </c>
      <c r="B643" t="s">
        <v>1322</v>
      </c>
      <c r="C643" t="s">
        <v>1323</v>
      </c>
      <c r="D643" t="s">
        <v>1324</v>
      </c>
      <c r="E643" t="s">
        <v>1310</v>
      </c>
      <c r="F643" t="s">
        <v>19</v>
      </c>
      <c r="G643" s="2">
        <v>46104</v>
      </c>
      <c r="H643" s="2">
        <v>46203</v>
      </c>
      <c r="I643" s="3">
        <v>71428355</v>
      </c>
      <c r="J643" t="s">
        <v>20</v>
      </c>
      <c r="K643" s="1">
        <v>46142</v>
      </c>
      <c r="L643" s="3">
        <v>72883351</v>
      </c>
      <c r="M643" s="3">
        <v>71961523.879108995</v>
      </c>
      <c r="N643" s="3">
        <v>71961523.879108995</v>
      </c>
      <c r="O643" s="6" t="s">
        <v>307</v>
      </c>
      <c r="P643" t="s">
        <v>201</v>
      </c>
      <c r="Q643" s="3">
        <v>61</v>
      </c>
      <c r="R643" s="5">
        <v>0.16944400000000001</v>
      </c>
      <c r="S643" s="6" t="s">
        <v>145</v>
      </c>
      <c r="T643" t="s">
        <v>21</v>
      </c>
    </row>
    <row r="644" spans="1:20" x14ac:dyDescent="0.25">
      <c r="A644" t="s">
        <v>54</v>
      </c>
      <c r="B644" t="s">
        <v>123</v>
      </c>
      <c r="C644" t="s">
        <v>123</v>
      </c>
      <c r="D644" t="s">
        <v>124</v>
      </c>
      <c r="E644" t="s">
        <v>1289</v>
      </c>
      <c r="F644" t="s">
        <v>19</v>
      </c>
      <c r="G644" s="2">
        <v>46105</v>
      </c>
      <c r="H644" s="2">
        <v>46204</v>
      </c>
      <c r="I644" s="3">
        <v>57279579</v>
      </c>
      <c r="J644" t="s">
        <v>20</v>
      </c>
      <c r="K644" s="1">
        <v>46142</v>
      </c>
      <c r="L644" s="3">
        <v>58470421</v>
      </c>
      <c r="M644" s="3">
        <v>57718920.653097004</v>
      </c>
      <c r="N644" s="3">
        <v>57718920.653097004</v>
      </c>
      <c r="O644" s="6" t="s">
        <v>312</v>
      </c>
      <c r="P644" t="s">
        <v>196</v>
      </c>
      <c r="Q644" s="3">
        <v>62</v>
      </c>
      <c r="R644" s="5">
        <v>0.17222199999999999</v>
      </c>
      <c r="S644" s="6" t="s">
        <v>145</v>
      </c>
      <c r="T644" t="s">
        <v>21</v>
      </c>
    </row>
    <row r="645" spans="1:20" x14ac:dyDescent="0.25">
      <c r="A645" t="s">
        <v>54</v>
      </c>
      <c r="B645" t="s">
        <v>123</v>
      </c>
      <c r="C645" t="s">
        <v>123</v>
      </c>
      <c r="D645" t="s">
        <v>124</v>
      </c>
      <c r="E645" t="s">
        <v>1289</v>
      </c>
      <c r="F645" t="s">
        <v>19</v>
      </c>
      <c r="G645" s="2">
        <v>46105</v>
      </c>
      <c r="H645" s="2">
        <v>46204</v>
      </c>
      <c r="I645" s="3">
        <v>47290962</v>
      </c>
      <c r="J645" t="s">
        <v>20</v>
      </c>
      <c r="K645" s="1">
        <v>46142</v>
      </c>
      <c r="L645" s="3">
        <v>48274141</v>
      </c>
      <c r="M645" s="3">
        <v>47653689.956762999</v>
      </c>
      <c r="N645" s="3">
        <v>47653689.956762999</v>
      </c>
      <c r="O645" s="6" t="s">
        <v>312</v>
      </c>
      <c r="P645" t="s">
        <v>196</v>
      </c>
      <c r="Q645" s="3">
        <v>62</v>
      </c>
      <c r="R645" s="5">
        <v>0.17222199999999999</v>
      </c>
      <c r="S645" s="6" t="s">
        <v>145</v>
      </c>
      <c r="T645" t="s">
        <v>21</v>
      </c>
    </row>
    <row r="646" spans="1:20" x14ac:dyDescent="0.25">
      <c r="A646" t="s">
        <v>54</v>
      </c>
      <c r="B646" t="s">
        <v>123</v>
      </c>
      <c r="C646" t="s">
        <v>123</v>
      </c>
      <c r="D646" t="s">
        <v>124</v>
      </c>
      <c r="E646" t="s">
        <v>1330</v>
      </c>
      <c r="F646" t="s">
        <v>19</v>
      </c>
      <c r="G646" s="2">
        <v>46136</v>
      </c>
      <c r="H646" s="2">
        <v>46237</v>
      </c>
      <c r="I646" s="3">
        <v>38851089</v>
      </c>
      <c r="J646" t="s">
        <v>20</v>
      </c>
      <c r="K646" s="1">
        <v>46142</v>
      </c>
      <c r="L646" s="3">
        <v>39675121</v>
      </c>
      <c r="M646" s="3">
        <v>38899084.268836997</v>
      </c>
      <c r="N646" s="3">
        <v>38899084.268836997</v>
      </c>
      <c r="O646" s="6" t="s">
        <v>521</v>
      </c>
      <c r="P646" t="s">
        <v>196</v>
      </c>
      <c r="Q646" s="3">
        <v>95</v>
      </c>
      <c r="R646" s="5">
        <v>0.26388800000000001</v>
      </c>
      <c r="S646" s="6" t="s">
        <v>141</v>
      </c>
      <c r="T646" t="s">
        <v>21</v>
      </c>
    </row>
    <row r="647" spans="1:20" x14ac:dyDescent="0.25">
      <c r="A647" t="s">
        <v>54</v>
      </c>
      <c r="B647" t="s">
        <v>123</v>
      </c>
      <c r="C647" t="s">
        <v>123</v>
      </c>
      <c r="D647" t="s">
        <v>124</v>
      </c>
      <c r="E647" t="s">
        <v>22</v>
      </c>
      <c r="F647" t="s">
        <v>19</v>
      </c>
      <c r="G647" s="2">
        <v>46043</v>
      </c>
      <c r="H647" s="2">
        <v>46146</v>
      </c>
      <c r="I647" s="3">
        <v>11343550</v>
      </c>
      <c r="J647" t="s">
        <v>20</v>
      </c>
      <c r="K647" s="1">
        <v>46142</v>
      </c>
      <c r="L647" s="3">
        <v>11469804</v>
      </c>
      <c r="M647" s="3">
        <v>11460177.450941</v>
      </c>
      <c r="N647" s="3">
        <v>11460177.450941</v>
      </c>
      <c r="O647" s="6"/>
      <c r="P647" t="s">
        <v>196</v>
      </c>
      <c r="Q647" s="3">
        <v>4</v>
      </c>
      <c r="R647" s="5">
        <v>1.1110999999999999E-2</v>
      </c>
      <c r="S647" s="6" t="s">
        <v>143</v>
      </c>
      <c r="T647" t="s">
        <v>21</v>
      </c>
    </row>
    <row r="648" spans="1:20" x14ac:dyDescent="0.25">
      <c r="A648" t="s">
        <v>54</v>
      </c>
      <c r="B648" t="s">
        <v>123</v>
      </c>
      <c r="C648" t="s">
        <v>123</v>
      </c>
      <c r="D648" t="s">
        <v>124</v>
      </c>
      <c r="E648" t="s">
        <v>1337</v>
      </c>
      <c r="F648" t="s">
        <v>19</v>
      </c>
      <c r="G648" s="2">
        <v>46139</v>
      </c>
      <c r="H648" s="2">
        <v>46238</v>
      </c>
      <c r="I648" s="3">
        <v>33243998</v>
      </c>
      <c r="J648" t="s">
        <v>20</v>
      </c>
      <c r="K648" s="1">
        <v>46142</v>
      </c>
      <c r="L648" s="3">
        <v>33935141</v>
      </c>
      <c r="M648" s="3">
        <v>33264528.113237001</v>
      </c>
      <c r="N648" s="3">
        <v>33264528.113237001</v>
      </c>
      <c r="O648" s="6" t="s">
        <v>140</v>
      </c>
      <c r="P648" t="s">
        <v>201</v>
      </c>
      <c r="Q648" s="3">
        <v>96</v>
      </c>
      <c r="R648" s="5">
        <v>0.26666600000000001</v>
      </c>
      <c r="S648" s="6" t="s">
        <v>141</v>
      </c>
      <c r="T648" t="s">
        <v>21</v>
      </c>
    </row>
    <row r="649" spans="1:20" x14ac:dyDescent="0.25">
      <c r="A649" t="s">
        <v>54</v>
      </c>
      <c r="B649" t="s">
        <v>123</v>
      </c>
      <c r="C649" t="s">
        <v>123</v>
      </c>
      <c r="D649" t="s">
        <v>124</v>
      </c>
      <c r="E649" t="s">
        <v>36</v>
      </c>
      <c r="F649" t="s">
        <v>19</v>
      </c>
      <c r="G649" s="2">
        <v>46048</v>
      </c>
      <c r="H649" s="2">
        <v>46147</v>
      </c>
      <c r="I649" s="3">
        <v>42369863</v>
      </c>
      <c r="J649" t="s">
        <v>20</v>
      </c>
      <c r="K649" s="1">
        <v>46142</v>
      </c>
      <c r="L649" s="3">
        <v>42850337</v>
      </c>
      <c r="M649" s="3">
        <v>42805391.339093998</v>
      </c>
      <c r="N649" s="3">
        <v>42805391.339093998</v>
      </c>
      <c r="O649" s="6"/>
      <c r="P649" t="s">
        <v>196</v>
      </c>
      <c r="Q649" s="3">
        <v>5</v>
      </c>
      <c r="R649" s="5">
        <v>1.3887999999999999E-2</v>
      </c>
      <c r="S649" s="6" t="s">
        <v>143</v>
      </c>
      <c r="T649" t="s">
        <v>21</v>
      </c>
    </row>
    <row r="650" spans="1:20" x14ac:dyDescent="0.25">
      <c r="A650" t="s">
        <v>54</v>
      </c>
      <c r="B650" t="s">
        <v>123</v>
      </c>
      <c r="C650" t="s">
        <v>123</v>
      </c>
      <c r="D650" t="s">
        <v>124</v>
      </c>
      <c r="E650" t="s">
        <v>1338</v>
      </c>
      <c r="F650" t="s">
        <v>19</v>
      </c>
      <c r="G650" s="2">
        <v>46140</v>
      </c>
      <c r="H650" s="2">
        <v>46240</v>
      </c>
      <c r="I650" s="3">
        <v>34593683</v>
      </c>
      <c r="J650" t="s">
        <v>20</v>
      </c>
      <c r="K650" s="1">
        <v>46142</v>
      </c>
      <c r="L650" s="3">
        <v>35320150</v>
      </c>
      <c r="M650" s="3">
        <v>34607919.026436001</v>
      </c>
      <c r="N650" s="3">
        <v>34607919.026436001</v>
      </c>
      <c r="O650" s="6" t="s">
        <v>1271</v>
      </c>
      <c r="P650" t="s">
        <v>196</v>
      </c>
      <c r="Q650" s="3">
        <v>98</v>
      </c>
      <c r="R650" s="5">
        <v>0.27222200000000002</v>
      </c>
      <c r="S650" s="6" t="s">
        <v>141</v>
      </c>
      <c r="T650" t="s">
        <v>21</v>
      </c>
    </row>
    <row r="651" spans="1:20" x14ac:dyDescent="0.25">
      <c r="A651" t="s">
        <v>54</v>
      </c>
      <c r="B651" t="s">
        <v>123</v>
      </c>
      <c r="C651" t="s">
        <v>123</v>
      </c>
      <c r="D651" t="s">
        <v>124</v>
      </c>
      <c r="E651" t="s">
        <v>23</v>
      </c>
      <c r="F651" t="s">
        <v>19</v>
      </c>
      <c r="G651" s="2">
        <v>46049</v>
      </c>
      <c r="H651" s="2">
        <v>46149</v>
      </c>
      <c r="I651" s="3">
        <v>41738026</v>
      </c>
      <c r="J651" t="s">
        <v>20</v>
      </c>
      <c r="K651" s="1">
        <v>46142</v>
      </c>
      <c r="L651" s="3">
        <v>42228865</v>
      </c>
      <c r="M651" s="3">
        <v>42166879.686860003</v>
      </c>
      <c r="N651" s="3">
        <v>42166879.686860003</v>
      </c>
      <c r="O651" s="6" t="s">
        <v>521</v>
      </c>
      <c r="P651" t="s">
        <v>196</v>
      </c>
      <c r="Q651" s="3">
        <v>7</v>
      </c>
      <c r="R651" s="5">
        <v>1.9443999999999999E-2</v>
      </c>
      <c r="S651" s="6" t="s">
        <v>143</v>
      </c>
      <c r="T651" t="s">
        <v>21</v>
      </c>
    </row>
    <row r="652" spans="1:20" x14ac:dyDescent="0.25">
      <c r="A652" t="s">
        <v>54</v>
      </c>
      <c r="B652" t="s">
        <v>123</v>
      </c>
      <c r="C652" t="s">
        <v>123</v>
      </c>
      <c r="D652" t="s">
        <v>124</v>
      </c>
      <c r="E652" t="s">
        <v>1294</v>
      </c>
      <c r="F652" t="s">
        <v>19</v>
      </c>
      <c r="G652" s="2">
        <v>46111</v>
      </c>
      <c r="H652" s="2">
        <v>46210</v>
      </c>
      <c r="I652" s="3">
        <v>24483478</v>
      </c>
      <c r="J652" t="s">
        <v>20</v>
      </c>
      <c r="K652" s="1">
        <v>46142</v>
      </c>
      <c r="L652" s="3">
        <v>24992490</v>
      </c>
      <c r="M652" s="3">
        <v>24640621.918997001</v>
      </c>
      <c r="N652" s="3">
        <v>24640621.918997001</v>
      </c>
      <c r="O652" s="6" t="s">
        <v>325</v>
      </c>
      <c r="P652" t="s">
        <v>196</v>
      </c>
      <c r="Q652" s="3">
        <v>68</v>
      </c>
      <c r="R652" s="5">
        <v>0.188888</v>
      </c>
      <c r="S652" s="6" t="s">
        <v>145</v>
      </c>
      <c r="T652" t="s">
        <v>21</v>
      </c>
    </row>
    <row r="653" spans="1:20" x14ac:dyDescent="0.25">
      <c r="A653" t="s">
        <v>54</v>
      </c>
      <c r="B653" t="s">
        <v>123</v>
      </c>
      <c r="C653" t="s">
        <v>123</v>
      </c>
      <c r="D653" t="s">
        <v>124</v>
      </c>
      <c r="E653" t="s">
        <v>1294</v>
      </c>
      <c r="F653" t="s">
        <v>19</v>
      </c>
      <c r="G653" s="2">
        <v>46111</v>
      </c>
      <c r="H653" s="2">
        <v>46210</v>
      </c>
      <c r="I653" s="3">
        <v>37942198</v>
      </c>
      <c r="J653" t="s">
        <v>20</v>
      </c>
      <c r="K653" s="1">
        <v>46142</v>
      </c>
      <c r="L653" s="3">
        <v>38731016</v>
      </c>
      <c r="M653" s="3">
        <v>38185723.863233</v>
      </c>
      <c r="N653" s="3">
        <v>38185723.863233</v>
      </c>
      <c r="O653" s="6" t="s">
        <v>325</v>
      </c>
      <c r="P653" t="s">
        <v>196</v>
      </c>
      <c r="Q653" s="3">
        <v>68</v>
      </c>
      <c r="R653" s="5">
        <v>0.188888</v>
      </c>
      <c r="S653" s="6" t="s">
        <v>145</v>
      </c>
      <c r="T653" t="s">
        <v>21</v>
      </c>
    </row>
    <row r="654" spans="1:20" x14ac:dyDescent="0.25">
      <c r="A654" t="s">
        <v>54</v>
      </c>
      <c r="B654" t="s">
        <v>123</v>
      </c>
      <c r="C654" t="s">
        <v>123</v>
      </c>
      <c r="D654" t="s">
        <v>124</v>
      </c>
      <c r="E654" t="s">
        <v>1364</v>
      </c>
      <c r="F654" t="s">
        <v>19</v>
      </c>
      <c r="G654" s="2">
        <v>46141</v>
      </c>
      <c r="H654" s="2">
        <v>46241</v>
      </c>
      <c r="I654" s="3">
        <v>8796165</v>
      </c>
      <c r="J654" t="s">
        <v>20</v>
      </c>
      <c r="K654" s="1">
        <v>46142</v>
      </c>
      <c r="L654" s="3">
        <v>8980884</v>
      </c>
      <c r="M654" s="3">
        <v>8797974.1180850007</v>
      </c>
      <c r="N654" s="3">
        <v>8797974.1180850007</v>
      </c>
      <c r="O654" s="6" t="s">
        <v>185</v>
      </c>
      <c r="P654" t="s">
        <v>196</v>
      </c>
      <c r="Q654" s="3">
        <v>99</v>
      </c>
      <c r="R654" s="5">
        <v>0.27500000000000002</v>
      </c>
      <c r="S654" s="6" t="s">
        <v>141</v>
      </c>
      <c r="T654" t="s">
        <v>21</v>
      </c>
    </row>
    <row r="655" spans="1:20" x14ac:dyDescent="0.25">
      <c r="A655" t="s">
        <v>54</v>
      </c>
      <c r="B655" t="s">
        <v>123</v>
      </c>
      <c r="C655" t="s">
        <v>123</v>
      </c>
      <c r="D655" t="s">
        <v>124</v>
      </c>
      <c r="E655" t="s">
        <v>61</v>
      </c>
      <c r="F655" t="s">
        <v>19</v>
      </c>
      <c r="G655" s="2">
        <v>46049</v>
      </c>
      <c r="H655" s="2">
        <v>46150</v>
      </c>
      <c r="I655" s="3">
        <v>42876936</v>
      </c>
      <c r="J655" t="s">
        <v>20</v>
      </c>
      <c r="K655" s="1">
        <v>46142</v>
      </c>
      <c r="L655" s="3">
        <v>43390173</v>
      </c>
      <c r="M655" s="3">
        <v>43317399.768389001</v>
      </c>
      <c r="N655" s="3">
        <v>43317399.768389001</v>
      </c>
      <c r="O655" s="6" t="s">
        <v>521</v>
      </c>
      <c r="P655" t="s">
        <v>196</v>
      </c>
      <c r="Q655" s="3">
        <v>8</v>
      </c>
      <c r="R655" s="5">
        <v>2.2221999999999999E-2</v>
      </c>
      <c r="S655" s="6" t="s">
        <v>143</v>
      </c>
      <c r="T655" t="s">
        <v>21</v>
      </c>
    </row>
    <row r="656" spans="1:20" x14ac:dyDescent="0.25">
      <c r="A656" t="s">
        <v>54</v>
      </c>
      <c r="B656" t="s">
        <v>123</v>
      </c>
      <c r="C656" t="s">
        <v>123</v>
      </c>
      <c r="D656" t="s">
        <v>124</v>
      </c>
      <c r="E656" t="s">
        <v>1358</v>
      </c>
      <c r="F656" t="s">
        <v>19</v>
      </c>
      <c r="G656" s="2">
        <v>46141</v>
      </c>
      <c r="H656" s="2">
        <v>46244</v>
      </c>
      <c r="I656" s="3">
        <v>23461609</v>
      </c>
      <c r="J656" t="s">
        <v>20</v>
      </c>
      <c r="K656" s="1">
        <v>46142</v>
      </c>
      <c r="L656" s="3">
        <v>23969084</v>
      </c>
      <c r="M656" s="3">
        <v>23466433.005031999</v>
      </c>
      <c r="N656" s="3">
        <v>23466433.005031999</v>
      </c>
      <c r="O656" s="6" t="s">
        <v>452</v>
      </c>
      <c r="P656" t="s">
        <v>196</v>
      </c>
      <c r="Q656" s="3">
        <v>102</v>
      </c>
      <c r="R656" s="5">
        <v>0.283333</v>
      </c>
      <c r="S656" s="6" t="s">
        <v>141</v>
      </c>
      <c r="T656" t="s">
        <v>21</v>
      </c>
    </row>
    <row r="657" spans="1:20" x14ac:dyDescent="0.25">
      <c r="A657" t="s">
        <v>54</v>
      </c>
      <c r="B657" t="s">
        <v>123</v>
      </c>
      <c r="C657" t="s">
        <v>123</v>
      </c>
      <c r="D657" t="s">
        <v>124</v>
      </c>
      <c r="E657" t="s">
        <v>1358</v>
      </c>
      <c r="F657" t="s">
        <v>19</v>
      </c>
      <c r="G657" s="2">
        <v>46141</v>
      </c>
      <c r="H657" s="2">
        <v>46244</v>
      </c>
      <c r="I657" s="3">
        <v>20628948</v>
      </c>
      <c r="J657" t="s">
        <v>20</v>
      </c>
      <c r="K657" s="1">
        <v>46142</v>
      </c>
      <c r="L657" s="3">
        <v>21075152</v>
      </c>
      <c r="M657" s="3">
        <v>20633189.089699</v>
      </c>
      <c r="N657" s="3">
        <v>20633189.089699</v>
      </c>
      <c r="O657" s="6" t="s">
        <v>452</v>
      </c>
      <c r="P657" t="s">
        <v>196</v>
      </c>
      <c r="Q657" s="3">
        <v>102</v>
      </c>
      <c r="R657" s="5">
        <v>0.283333</v>
      </c>
      <c r="S657" s="6" t="s">
        <v>141</v>
      </c>
      <c r="T657" t="s">
        <v>21</v>
      </c>
    </row>
    <row r="658" spans="1:20" x14ac:dyDescent="0.25">
      <c r="A658" t="s">
        <v>54</v>
      </c>
      <c r="B658" t="s">
        <v>123</v>
      </c>
      <c r="C658" t="s">
        <v>123</v>
      </c>
      <c r="D658" t="s">
        <v>124</v>
      </c>
      <c r="E658" t="s">
        <v>37</v>
      </c>
      <c r="F658" t="s">
        <v>19</v>
      </c>
      <c r="G658" s="2">
        <v>46050</v>
      </c>
      <c r="H658" s="2">
        <v>46153</v>
      </c>
      <c r="I658" s="3">
        <v>11125157</v>
      </c>
      <c r="J658" t="s">
        <v>20</v>
      </c>
      <c r="K658" s="1">
        <v>46142</v>
      </c>
      <c r="L658" s="3">
        <v>11265334</v>
      </c>
      <c r="M658" s="3">
        <v>11239371.052867999</v>
      </c>
      <c r="N658" s="3">
        <v>11239371.052867999</v>
      </c>
      <c r="O658" s="6" t="s">
        <v>153</v>
      </c>
      <c r="P658" t="s">
        <v>196</v>
      </c>
      <c r="Q658" s="3">
        <v>11</v>
      </c>
      <c r="R658" s="5">
        <v>3.0554999999999999E-2</v>
      </c>
      <c r="S658" s="6" t="s">
        <v>143</v>
      </c>
      <c r="T658" t="s">
        <v>21</v>
      </c>
    </row>
    <row r="659" spans="1:20" x14ac:dyDescent="0.25">
      <c r="A659" t="s">
        <v>54</v>
      </c>
      <c r="B659" t="s">
        <v>123</v>
      </c>
      <c r="C659" t="s">
        <v>123</v>
      </c>
      <c r="D659" t="s">
        <v>124</v>
      </c>
      <c r="E659" t="s">
        <v>1375</v>
      </c>
      <c r="F659" t="s">
        <v>19</v>
      </c>
      <c r="G659" s="2">
        <v>46142</v>
      </c>
      <c r="H659" s="2">
        <v>46246</v>
      </c>
      <c r="I659" s="3">
        <v>13858639</v>
      </c>
      <c r="J659" t="s">
        <v>20</v>
      </c>
      <c r="K659" s="1">
        <v>46142</v>
      </c>
      <c r="L659" s="3">
        <v>14161312</v>
      </c>
      <c r="M659" s="3">
        <v>13858639.31731</v>
      </c>
      <c r="N659" s="3">
        <v>13858639.31731</v>
      </c>
      <c r="O659" s="6" t="s">
        <v>140</v>
      </c>
      <c r="P659" t="s">
        <v>201</v>
      </c>
      <c r="Q659" s="3">
        <v>104</v>
      </c>
      <c r="R659" s="5">
        <v>0.28888799999999998</v>
      </c>
      <c r="S659" s="6" t="s">
        <v>141</v>
      </c>
      <c r="T659" t="s">
        <v>21</v>
      </c>
    </row>
    <row r="660" spans="1:20" x14ac:dyDescent="0.25">
      <c r="A660" t="s">
        <v>54</v>
      </c>
      <c r="B660" t="s">
        <v>123</v>
      </c>
      <c r="C660" t="s">
        <v>123</v>
      </c>
      <c r="D660" t="s">
        <v>124</v>
      </c>
      <c r="E660" t="s">
        <v>1340</v>
      </c>
      <c r="F660" t="s">
        <v>19</v>
      </c>
      <c r="G660" s="2">
        <v>46118</v>
      </c>
      <c r="H660" s="2">
        <v>46216</v>
      </c>
      <c r="I660" s="3">
        <v>33035874</v>
      </c>
      <c r="J660" t="s">
        <v>20</v>
      </c>
      <c r="K660" s="1">
        <v>46142</v>
      </c>
      <c r="L660" s="3">
        <v>33715752</v>
      </c>
      <c r="M660" s="3">
        <v>33199826.693188</v>
      </c>
      <c r="N660" s="3">
        <v>33199826.693188</v>
      </c>
      <c r="O660" s="6" t="s">
        <v>144</v>
      </c>
      <c r="P660" t="s">
        <v>196</v>
      </c>
      <c r="Q660" s="3">
        <v>74</v>
      </c>
      <c r="R660" s="5">
        <v>0.20555499999999999</v>
      </c>
      <c r="S660" s="6" t="s">
        <v>145</v>
      </c>
      <c r="T660" t="s">
        <v>21</v>
      </c>
    </row>
    <row r="661" spans="1:20" x14ac:dyDescent="0.25">
      <c r="A661" t="s">
        <v>54</v>
      </c>
      <c r="B661" t="s">
        <v>123</v>
      </c>
      <c r="C661" t="s">
        <v>123</v>
      </c>
      <c r="D661" t="s">
        <v>124</v>
      </c>
      <c r="E661" t="s">
        <v>25</v>
      </c>
      <c r="F661" t="s">
        <v>19</v>
      </c>
      <c r="G661" s="2">
        <v>46051</v>
      </c>
      <c r="H661" s="2">
        <v>46156</v>
      </c>
      <c r="I661" s="3">
        <v>29363074</v>
      </c>
      <c r="J661" t="s">
        <v>20</v>
      </c>
      <c r="K661" s="1">
        <v>46142</v>
      </c>
      <c r="L661" s="3">
        <v>29449401</v>
      </c>
      <c r="M661" s="3">
        <v>29363073.563723002</v>
      </c>
      <c r="N661" s="3">
        <v>29363073.563723002</v>
      </c>
      <c r="O661" s="6" t="s">
        <v>452</v>
      </c>
      <c r="P661" t="s">
        <v>196</v>
      </c>
      <c r="Q661" s="3">
        <v>14</v>
      </c>
      <c r="R661" s="5">
        <v>3.8887999999999999E-2</v>
      </c>
      <c r="S661" s="6" t="s">
        <v>143</v>
      </c>
      <c r="T661" t="s">
        <v>21</v>
      </c>
    </row>
    <row r="662" spans="1:20" x14ac:dyDescent="0.25">
      <c r="A662" t="s">
        <v>54</v>
      </c>
      <c r="B662" t="s">
        <v>123</v>
      </c>
      <c r="C662" t="s">
        <v>123</v>
      </c>
      <c r="D662" t="s">
        <v>124</v>
      </c>
      <c r="E662" t="s">
        <v>1363</v>
      </c>
      <c r="F662" t="s">
        <v>19</v>
      </c>
      <c r="G662" s="2">
        <v>46119</v>
      </c>
      <c r="H662" s="2">
        <v>46217</v>
      </c>
      <c r="I662" s="3">
        <v>37825075</v>
      </c>
      <c r="J662" t="s">
        <v>20</v>
      </c>
      <c r="K662" s="1">
        <v>46142</v>
      </c>
      <c r="L662" s="3">
        <v>38603515</v>
      </c>
      <c r="M662" s="3">
        <v>38004937.238494001</v>
      </c>
      <c r="N662" s="3">
        <v>38004937.238494001</v>
      </c>
      <c r="O662" s="6" t="s">
        <v>140</v>
      </c>
      <c r="P662" t="s">
        <v>201</v>
      </c>
      <c r="Q662" s="3">
        <v>75</v>
      </c>
      <c r="R662" s="5">
        <v>0.20833299999999999</v>
      </c>
      <c r="S662" s="6" t="s">
        <v>145</v>
      </c>
      <c r="T662" t="s">
        <v>21</v>
      </c>
    </row>
    <row r="663" spans="1:20" x14ac:dyDescent="0.25">
      <c r="A663" t="s">
        <v>54</v>
      </c>
      <c r="B663" t="s">
        <v>123</v>
      </c>
      <c r="C663" t="s">
        <v>123</v>
      </c>
      <c r="D663" t="s">
        <v>124</v>
      </c>
      <c r="E663" t="s">
        <v>26</v>
      </c>
      <c r="F663" t="s">
        <v>19</v>
      </c>
      <c r="G663" s="2">
        <v>46052</v>
      </c>
      <c r="H663" s="2">
        <v>46157</v>
      </c>
      <c r="I663" s="3">
        <v>23839370</v>
      </c>
      <c r="J663" t="s">
        <v>20</v>
      </c>
      <c r="K663" s="1">
        <v>46142</v>
      </c>
      <c r="L663" s="3">
        <v>24159771</v>
      </c>
      <c r="M663" s="3">
        <v>24083906.693914</v>
      </c>
      <c r="N663" s="3">
        <v>24083906.693914</v>
      </c>
      <c r="O663" s="6" t="s">
        <v>521</v>
      </c>
      <c r="P663" t="s">
        <v>196</v>
      </c>
      <c r="Q663" s="3">
        <v>15</v>
      </c>
      <c r="R663" s="5">
        <v>4.1666000000000002E-2</v>
      </c>
      <c r="S663" s="6" t="s">
        <v>143</v>
      </c>
      <c r="T663" t="s">
        <v>21</v>
      </c>
    </row>
    <row r="664" spans="1:20" x14ac:dyDescent="0.25">
      <c r="A664" t="s">
        <v>54</v>
      </c>
      <c r="B664" t="s">
        <v>123</v>
      </c>
      <c r="C664" t="s">
        <v>123</v>
      </c>
      <c r="D664" t="s">
        <v>124</v>
      </c>
      <c r="E664" t="s">
        <v>26</v>
      </c>
      <c r="F664" t="s">
        <v>19</v>
      </c>
      <c r="G664" s="2">
        <v>46052</v>
      </c>
      <c r="H664" s="2">
        <v>46157</v>
      </c>
      <c r="I664" s="3">
        <v>17292055</v>
      </c>
      <c r="J664" t="s">
        <v>20</v>
      </c>
      <c r="K664" s="1">
        <v>46142</v>
      </c>
      <c r="L664" s="3">
        <v>17426414</v>
      </c>
      <c r="M664" s="3">
        <v>17371693.166524999</v>
      </c>
      <c r="N664" s="3">
        <v>17371693.166524999</v>
      </c>
      <c r="O664" s="6" t="s">
        <v>521</v>
      </c>
      <c r="P664" t="s">
        <v>196</v>
      </c>
      <c r="Q664" s="3">
        <v>15</v>
      </c>
      <c r="R664" s="5">
        <v>4.1666000000000002E-2</v>
      </c>
      <c r="S664" s="6" t="s">
        <v>143</v>
      </c>
      <c r="T664" t="s">
        <v>21</v>
      </c>
    </row>
    <row r="665" spans="1:20" x14ac:dyDescent="0.25">
      <c r="A665" t="s">
        <v>54</v>
      </c>
      <c r="B665" t="s">
        <v>123</v>
      </c>
      <c r="C665" t="s">
        <v>123</v>
      </c>
      <c r="D665" t="s">
        <v>124</v>
      </c>
      <c r="E665" t="s">
        <v>1296</v>
      </c>
      <c r="F665" t="s">
        <v>19</v>
      </c>
      <c r="G665" s="2">
        <v>46092</v>
      </c>
      <c r="H665" s="2">
        <v>46190</v>
      </c>
      <c r="I665" s="3">
        <v>9436248</v>
      </c>
      <c r="J665" t="s">
        <v>20</v>
      </c>
      <c r="K665" s="1">
        <v>46142</v>
      </c>
      <c r="L665" s="3">
        <v>9628464</v>
      </c>
      <c r="M665" s="3">
        <v>9532377.6334550008</v>
      </c>
      <c r="N665" s="3">
        <v>9532377.6334550008</v>
      </c>
      <c r="O665" s="6" t="s">
        <v>454</v>
      </c>
      <c r="P665" t="s">
        <v>196</v>
      </c>
      <c r="Q665" s="3">
        <v>48</v>
      </c>
      <c r="R665" s="5">
        <v>0.13333300000000001</v>
      </c>
      <c r="S665" s="6" t="s">
        <v>145</v>
      </c>
      <c r="T665" t="s">
        <v>21</v>
      </c>
    </row>
    <row r="666" spans="1:20" x14ac:dyDescent="0.25">
      <c r="A666" t="s">
        <v>54</v>
      </c>
      <c r="B666" t="s">
        <v>123</v>
      </c>
      <c r="C666" t="s">
        <v>123</v>
      </c>
      <c r="D666" t="s">
        <v>124</v>
      </c>
      <c r="E666" t="s">
        <v>27</v>
      </c>
      <c r="F666" t="s">
        <v>19</v>
      </c>
      <c r="G666" s="2">
        <v>46052</v>
      </c>
      <c r="H666" s="2">
        <v>46160</v>
      </c>
      <c r="I666" s="3">
        <v>22962841</v>
      </c>
      <c r="J666" t="s">
        <v>20</v>
      </c>
      <c r="K666" s="1">
        <v>46142</v>
      </c>
      <c r="L666" s="3">
        <v>23285928</v>
      </c>
      <c r="M666" s="3">
        <v>23198238.657873001</v>
      </c>
      <c r="N666" s="3">
        <v>23198238.657873001</v>
      </c>
      <c r="O666" s="6" t="s">
        <v>452</v>
      </c>
      <c r="P666" t="s">
        <v>196</v>
      </c>
      <c r="Q666" s="3">
        <v>18</v>
      </c>
      <c r="R666" s="5">
        <v>0.05</v>
      </c>
      <c r="S666" s="6" t="s">
        <v>143</v>
      </c>
      <c r="T666" t="s">
        <v>21</v>
      </c>
    </row>
    <row r="667" spans="1:20" x14ac:dyDescent="0.25">
      <c r="A667" t="s">
        <v>54</v>
      </c>
      <c r="B667" t="s">
        <v>123</v>
      </c>
      <c r="C667" t="s">
        <v>123</v>
      </c>
      <c r="D667" t="s">
        <v>124</v>
      </c>
      <c r="E667" t="s">
        <v>27</v>
      </c>
      <c r="F667" t="s">
        <v>19</v>
      </c>
      <c r="G667" s="2">
        <v>46052</v>
      </c>
      <c r="H667" s="2">
        <v>46160</v>
      </c>
      <c r="I667" s="3">
        <v>40433059</v>
      </c>
      <c r="J667" t="s">
        <v>20</v>
      </c>
      <c r="K667" s="1">
        <v>46142</v>
      </c>
      <c r="L667" s="3">
        <v>41001952</v>
      </c>
      <c r="M667" s="3">
        <v>40847548.267549001</v>
      </c>
      <c r="N667" s="3">
        <v>40847548.267549001</v>
      </c>
      <c r="O667" s="6" t="s">
        <v>452</v>
      </c>
      <c r="P667" t="s">
        <v>196</v>
      </c>
      <c r="Q667" s="3">
        <v>18</v>
      </c>
      <c r="R667" s="5">
        <v>0.05</v>
      </c>
      <c r="S667" s="6" t="s">
        <v>143</v>
      </c>
      <c r="T667" t="s">
        <v>21</v>
      </c>
    </row>
    <row r="668" spans="1:20" x14ac:dyDescent="0.25">
      <c r="A668" t="s">
        <v>54</v>
      </c>
      <c r="B668" t="s">
        <v>123</v>
      </c>
      <c r="C668" t="s">
        <v>123</v>
      </c>
      <c r="D668" t="s">
        <v>124</v>
      </c>
      <c r="E668" t="s">
        <v>71</v>
      </c>
      <c r="F668" t="s">
        <v>19</v>
      </c>
      <c r="G668" s="2">
        <v>46062</v>
      </c>
      <c r="H668" s="2">
        <v>46162</v>
      </c>
      <c r="I668" s="3">
        <v>75675834</v>
      </c>
      <c r="J668" t="s">
        <v>20</v>
      </c>
      <c r="K668" s="1">
        <v>46142</v>
      </c>
      <c r="L668" s="3">
        <v>76772377</v>
      </c>
      <c r="M668" s="3">
        <v>76451281.617208004</v>
      </c>
      <c r="N668" s="3">
        <v>76451281.617208004</v>
      </c>
      <c r="O668" s="6" t="s">
        <v>1341</v>
      </c>
      <c r="P668" t="s">
        <v>196</v>
      </c>
      <c r="Q668" s="3">
        <v>20</v>
      </c>
      <c r="R668" s="5">
        <v>5.5555E-2</v>
      </c>
      <c r="S668" s="6" t="s">
        <v>143</v>
      </c>
      <c r="T668" t="s">
        <v>21</v>
      </c>
    </row>
    <row r="669" spans="1:20" x14ac:dyDescent="0.25">
      <c r="A669" t="s">
        <v>54</v>
      </c>
      <c r="B669" t="s">
        <v>123</v>
      </c>
      <c r="C669" t="s">
        <v>123</v>
      </c>
      <c r="D669" t="s">
        <v>124</v>
      </c>
      <c r="E669" t="s">
        <v>1342</v>
      </c>
      <c r="F669" t="s">
        <v>19</v>
      </c>
      <c r="G669" s="2">
        <v>46122</v>
      </c>
      <c r="H669" s="2">
        <v>46223</v>
      </c>
      <c r="I669" s="3">
        <v>42010358</v>
      </c>
      <c r="J669" t="s">
        <v>20</v>
      </c>
      <c r="K669" s="1">
        <v>46142</v>
      </c>
      <c r="L669" s="3">
        <v>42901398</v>
      </c>
      <c r="M669" s="3">
        <v>42183850.699600004</v>
      </c>
      <c r="N669" s="3">
        <v>42183850.699600004</v>
      </c>
      <c r="O669" s="6" t="s">
        <v>1264</v>
      </c>
      <c r="P669" t="s">
        <v>196</v>
      </c>
      <c r="Q669" s="3">
        <v>81</v>
      </c>
      <c r="R669" s="5">
        <v>0.22500000000000001</v>
      </c>
      <c r="S669" s="6" t="s">
        <v>145</v>
      </c>
      <c r="T669" t="s">
        <v>21</v>
      </c>
    </row>
    <row r="670" spans="1:20" x14ac:dyDescent="0.25">
      <c r="A670" t="s">
        <v>54</v>
      </c>
      <c r="B670" t="s">
        <v>123</v>
      </c>
      <c r="C670" t="s">
        <v>123</v>
      </c>
      <c r="D670" t="s">
        <v>124</v>
      </c>
      <c r="E670" t="s">
        <v>1342</v>
      </c>
      <c r="F670" t="s">
        <v>19</v>
      </c>
      <c r="G670" s="2">
        <v>46122</v>
      </c>
      <c r="H670" s="2">
        <v>46223</v>
      </c>
      <c r="I670" s="3">
        <v>22355065</v>
      </c>
      <c r="J670" t="s">
        <v>20</v>
      </c>
      <c r="K670" s="1">
        <v>46142</v>
      </c>
      <c r="L670" s="3">
        <v>22829216</v>
      </c>
      <c r="M670" s="3">
        <v>22447385.964740001</v>
      </c>
      <c r="N670" s="3">
        <v>22447385.964740001</v>
      </c>
      <c r="O670" s="6" t="s">
        <v>1264</v>
      </c>
      <c r="P670" t="s">
        <v>196</v>
      </c>
      <c r="Q670" s="3">
        <v>81</v>
      </c>
      <c r="R670" s="5">
        <v>0.22500000000000001</v>
      </c>
      <c r="S670" s="6" t="s">
        <v>145</v>
      </c>
      <c r="T670" t="s">
        <v>21</v>
      </c>
    </row>
    <row r="671" spans="1:20" x14ac:dyDescent="0.25">
      <c r="A671" t="s">
        <v>54</v>
      </c>
      <c r="B671" t="s">
        <v>123</v>
      </c>
      <c r="C671" t="s">
        <v>123</v>
      </c>
      <c r="D671" t="s">
        <v>124</v>
      </c>
      <c r="E671" t="s">
        <v>28</v>
      </c>
      <c r="F671" t="s">
        <v>19</v>
      </c>
      <c r="G671" s="2">
        <v>46062</v>
      </c>
      <c r="H671" s="2">
        <v>46164</v>
      </c>
      <c r="I671" s="3">
        <v>88726114</v>
      </c>
      <c r="J671" t="s">
        <v>20</v>
      </c>
      <c r="K671" s="1">
        <v>46142</v>
      </c>
      <c r="L671" s="3">
        <v>90049020</v>
      </c>
      <c r="M671" s="3">
        <v>89634906.730903</v>
      </c>
      <c r="N671" s="3">
        <v>89634906.730903</v>
      </c>
      <c r="O671" s="6" t="s">
        <v>1333</v>
      </c>
      <c r="P671" t="s">
        <v>196</v>
      </c>
      <c r="Q671" s="3">
        <v>22</v>
      </c>
      <c r="R671" s="5">
        <v>6.1110999999999999E-2</v>
      </c>
      <c r="S671" s="6" t="s">
        <v>143</v>
      </c>
      <c r="T671" t="s">
        <v>21</v>
      </c>
    </row>
    <row r="672" spans="1:20" x14ac:dyDescent="0.25">
      <c r="A672" t="s">
        <v>54</v>
      </c>
      <c r="B672" t="s">
        <v>123</v>
      </c>
      <c r="C672" t="s">
        <v>123</v>
      </c>
      <c r="D672" t="s">
        <v>124</v>
      </c>
      <c r="E672" t="s">
        <v>28</v>
      </c>
      <c r="F672" t="s">
        <v>19</v>
      </c>
      <c r="G672" s="2">
        <v>46062</v>
      </c>
      <c r="H672" s="2">
        <v>46164</v>
      </c>
      <c r="I672" s="3">
        <v>23807202</v>
      </c>
      <c r="J672" t="s">
        <v>20</v>
      </c>
      <c r="K672" s="1">
        <v>46142</v>
      </c>
      <c r="L672" s="3">
        <v>24162167</v>
      </c>
      <c r="M672" s="3">
        <v>24051051.143716</v>
      </c>
      <c r="N672" s="3">
        <v>24051051.143716</v>
      </c>
      <c r="O672" s="6" t="s">
        <v>1333</v>
      </c>
      <c r="P672" t="s">
        <v>196</v>
      </c>
      <c r="Q672" s="3">
        <v>22</v>
      </c>
      <c r="R672" s="5">
        <v>6.1110999999999999E-2</v>
      </c>
      <c r="S672" s="6" t="s">
        <v>143</v>
      </c>
      <c r="T672" t="s">
        <v>21</v>
      </c>
    </row>
    <row r="673" spans="1:20" x14ac:dyDescent="0.25">
      <c r="A673" t="s">
        <v>54</v>
      </c>
      <c r="B673" t="s">
        <v>123</v>
      </c>
      <c r="C673" t="s">
        <v>123</v>
      </c>
      <c r="D673" t="s">
        <v>124</v>
      </c>
      <c r="E673" t="s">
        <v>1298</v>
      </c>
      <c r="F673" t="s">
        <v>19</v>
      </c>
      <c r="G673" s="2">
        <v>46098</v>
      </c>
      <c r="H673" s="2">
        <v>46196</v>
      </c>
      <c r="I673" s="3">
        <v>11368575</v>
      </c>
      <c r="J673" t="s">
        <v>20</v>
      </c>
      <c r="K673" s="1">
        <v>46142</v>
      </c>
      <c r="L673" s="3">
        <v>11602540</v>
      </c>
      <c r="M673" s="3">
        <v>11472442.502026999</v>
      </c>
      <c r="N673" s="3">
        <v>11472442.502026999</v>
      </c>
      <c r="O673" s="6" t="s">
        <v>248</v>
      </c>
      <c r="P673" t="s">
        <v>196</v>
      </c>
      <c r="Q673" s="3">
        <v>54</v>
      </c>
      <c r="R673" s="5">
        <v>0.15</v>
      </c>
      <c r="S673" s="6" t="s">
        <v>145</v>
      </c>
      <c r="T673" t="s">
        <v>21</v>
      </c>
    </row>
    <row r="674" spans="1:20" x14ac:dyDescent="0.25">
      <c r="A674" t="s">
        <v>54</v>
      </c>
      <c r="B674" t="s">
        <v>123</v>
      </c>
      <c r="C674" t="s">
        <v>123</v>
      </c>
      <c r="D674" t="s">
        <v>124</v>
      </c>
      <c r="E674" t="s">
        <v>1345</v>
      </c>
      <c r="F674" t="s">
        <v>19</v>
      </c>
      <c r="G674" s="2">
        <v>46128</v>
      </c>
      <c r="H674" s="2">
        <v>46227</v>
      </c>
      <c r="I674" s="3">
        <v>15448310</v>
      </c>
      <c r="J674" t="s">
        <v>20</v>
      </c>
      <c r="K674" s="1">
        <v>46142</v>
      </c>
      <c r="L674" s="3">
        <v>15769480</v>
      </c>
      <c r="M674" s="3">
        <v>15492931.178463999</v>
      </c>
      <c r="N674" s="3">
        <v>15492931.178463999</v>
      </c>
      <c r="O674" s="6" t="s">
        <v>147</v>
      </c>
      <c r="P674" t="s">
        <v>196</v>
      </c>
      <c r="Q674" s="3">
        <v>85</v>
      </c>
      <c r="R674" s="5">
        <v>0.23611099999999999</v>
      </c>
      <c r="S674" s="6" t="s">
        <v>145</v>
      </c>
      <c r="T674" t="s">
        <v>21</v>
      </c>
    </row>
    <row r="675" spans="1:20" x14ac:dyDescent="0.25">
      <c r="A675" t="s">
        <v>54</v>
      </c>
      <c r="B675" t="s">
        <v>123</v>
      </c>
      <c r="C675" t="s">
        <v>123</v>
      </c>
      <c r="D675" t="s">
        <v>124</v>
      </c>
      <c r="E675" t="s">
        <v>1345</v>
      </c>
      <c r="F675" t="s">
        <v>19</v>
      </c>
      <c r="G675" s="2">
        <v>46128</v>
      </c>
      <c r="H675" s="2">
        <v>46227</v>
      </c>
      <c r="I675" s="3">
        <v>20588483</v>
      </c>
      <c r="J675" t="s">
        <v>20</v>
      </c>
      <c r="K675" s="1">
        <v>46142</v>
      </c>
      <c r="L675" s="3">
        <v>21016518</v>
      </c>
      <c r="M675" s="3">
        <v>20647952.055803999</v>
      </c>
      <c r="N675" s="3">
        <v>20647952.055803999</v>
      </c>
      <c r="O675" s="6" t="s">
        <v>147</v>
      </c>
      <c r="P675" t="s">
        <v>196</v>
      </c>
      <c r="Q675" s="3">
        <v>85</v>
      </c>
      <c r="R675" s="5">
        <v>0.23611099999999999</v>
      </c>
      <c r="S675" s="6" t="s">
        <v>145</v>
      </c>
      <c r="T675" t="s">
        <v>21</v>
      </c>
    </row>
    <row r="676" spans="1:20" x14ac:dyDescent="0.25">
      <c r="A676" t="s">
        <v>54</v>
      </c>
      <c r="B676" t="s">
        <v>123</v>
      </c>
      <c r="C676" t="s">
        <v>123</v>
      </c>
      <c r="D676" t="s">
        <v>124</v>
      </c>
      <c r="E676" t="s">
        <v>1346</v>
      </c>
      <c r="F676" t="s">
        <v>19</v>
      </c>
      <c r="G676" s="2">
        <v>46129</v>
      </c>
      <c r="H676" s="2">
        <v>46230</v>
      </c>
      <c r="I676" s="3">
        <v>41241080</v>
      </c>
      <c r="J676" t="s">
        <v>20</v>
      </c>
      <c r="K676" s="1">
        <v>46142</v>
      </c>
      <c r="L676" s="3">
        <v>42115803</v>
      </c>
      <c r="M676" s="3">
        <v>41351624.970544003</v>
      </c>
      <c r="N676" s="3">
        <v>41351624.970544003</v>
      </c>
      <c r="O676" s="6" t="s">
        <v>153</v>
      </c>
      <c r="P676" t="s">
        <v>196</v>
      </c>
      <c r="Q676" s="3">
        <v>88</v>
      </c>
      <c r="R676" s="5">
        <v>0.24444399999999999</v>
      </c>
      <c r="S676" s="6" t="s">
        <v>145</v>
      </c>
      <c r="T676" t="s">
        <v>21</v>
      </c>
    </row>
    <row r="677" spans="1:20" x14ac:dyDescent="0.25">
      <c r="A677" t="s">
        <v>54</v>
      </c>
      <c r="B677" t="s">
        <v>123</v>
      </c>
      <c r="C677" t="s">
        <v>123</v>
      </c>
      <c r="D677" t="s">
        <v>124</v>
      </c>
      <c r="E677" t="s">
        <v>62</v>
      </c>
      <c r="F677" t="s">
        <v>19</v>
      </c>
      <c r="G677" s="2">
        <v>46069</v>
      </c>
      <c r="H677" s="2">
        <v>46170</v>
      </c>
      <c r="I677" s="3">
        <v>37906258</v>
      </c>
      <c r="J677" t="s">
        <v>20</v>
      </c>
      <c r="K677" s="1">
        <v>46142</v>
      </c>
      <c r="L677" s="3">
        <v>38519202</v>
      </c>
      <c r="M677" s="3">
        <v>38294033.085458003</v>
      </c>
      <c r="N677" s="3">
        <v>38294033.085458003</v>
      </c>
      <c r="O677" s="6" t="s">
        <v>169</v>
      </c>
      <c r="P677" t="s">
        <v>196</v>
      </c>
      <c r="Q677" s="3">
        <v>28</v>
      </c>
      <c r="R677" s="5">
        <v>7.7776999999999999E-2</v>
      </c>
      <c r="S677" s="6" t="s">
        <v>143</v>
      </c>
      <c r="T677" t="s">
        <v>21</v>
      </c>
    </row>
    <row r="678" spans="1:20" x14ac:dyDescent="0.25">
      <c r="A678" t="s">
        <v>54</v>
      </c>
      <c r="B678" t="s">
        <v>123</v>
      </c>
      <c r="C678" t="s">
        <v>123</v>
      </c>
      <c r="D678" t="s">
        <v>124</v>
      </c>
      <c r="E678" t="s">
        <v>62</v>
      </c>
      <c r="F678" t="s">
        <v>19</v>
      </c>
      <c r="G678" s="2">
        <v>46069</v>
      </c>
      <c r="H678" s="2">
        <v>46170</v>
      </c>
      <c r="I678" s="3">
        <v>14045184</v>
      </c>
      <c r="J678" t="s">
        <v>20</v>
      </c>
      <c r="K678" s="1">
        <v>46142</v>
      </c>
      <c r="L678" s="3">
        <v>14272295</v>
      </c>
      <c r="M678" s="3">
        <v>14188864.476876</v>
      </c>
      <c r="N678" s="3">
        <v>14188864.476876</v>
      </c>
      <c r="O678" s="6" t="s">
        <v>169</v>
      </c>
      <c r="P678" t="s">
        <v>196</v>
      </c>
      <c r="Q678" s="3">
        <v>28</v>
      </c>
      <c r="R678" s="5">
        <v>7.7776999999999999E-2</v>
      </c>
      <c r="S678" s="6" t="s">
        <v>143</v>
      </c>
      <c r="T678" t="s">
        <v>21</v>
      </c>
    </row>
    <row r="679" spans="1:20" x14ac:dyDescent="0.25">
      <c r="A679" t="s">
        <v>54</v>
      </c>
      <c r="B679" t="s">
        <v>123</v>
      </c>
      <c r="C679" t="s">
        <v>123</v>
      </c>
      <c r="D679" t="s">
        <v>124</v>
      </c>
      <c r="E679" t="s">
        <v>1325</v>
      </c>
      <c r="F679" t="s">
        <v>19</v>
      </c>
      <c r="G679" s="2">
        <v>46104</v>
      </c>
      <c r="H679" s="2">
        <v>46203</v>
      </c>
      <c r="I679" s="3">
        <v>36822662</v>
      </c>
      <c r="J679" t="s">
        <v>20</v>
      </c>
      <c r="K679" s="1">
        <v>46142</v>
      </c>
      <c r="L679" s="3">
        <v>37588205</v>
      </c>
      <c r="M679" s="3">
        <v>37112790.158074997</v>
      </c>
      <c r="N679" s="3">
        <v>37112790.158074997</v>
      </c>
      <c r="O679" s="6" t="s">
        <v>312</v>
      </c>
      <c r="P679" t="s">
        <v>196</v>
      </c>
      <c r="Q679" s="3">
        <v>61</v>
      </c>
      <c r="R679" s="5">
        <v>0.16944400000000001</v>
      </c>
      <c r="S679" s="6" t="s">
        <v>145</v>
      </c>
      <c r="T679" t="s">
        <v>21</v>
      </c>
    </row>
    <row r="680" spans="1:20" x14ac:dyDescent="0.25">
      <c r="A680" t="s">
        <v>54</v>
      </c>
      <c r="B680" t="s">
        <v>123</v>
      </c>
      <c r="C680" t="s">
        <v>123</v>
      </c>
      <c r="D680" t="s">
        <v>124</v>
      </c>
      <c r="E680" t="s">
        <v>1325</v>
      </c>
      <c r="F680" t="s">
        <v>19</v>
      </c>
      <c r="G680" s="2">
        <v>46104</v>
      </c>
      <c r="H680" s="2">
        <v>46203</v>
      </c>
      <c r="I680" s="3">
        <v>13254634</v>
      </c>
      <c r="J680" t="s">
        <v>20</v>
      </c>
      <c r="K680" s="1">
        <v>46142</v>
      </c>
      <c r="L680" s="3">
        <v>13530198</v>
      </c>
      <c r="M680" s="3">
        <v>13359068.334633</v>
      </c>
      <c r="N680" s="3">
        <v>13359068.334633</v>
      </c>
      <c r="O680" s="6" t="s">
        <v>312</v>
      </c>
      <c r="P680" t="s">
        <v>196</v>
      </c>
      <c r="Q680" s="3">
        <v>61</v>
      </c>
      <c r="R680" s="5">
        <v>0.16944400000000001</v>
      </c>
      <c r="S680" s="6" t="s">
        <v>145</v>
      </c>
      <c r="T680" t="s">
        <v>21</v>
      </c>
    </row>
    <row r="681" spans="1:20" x14ac:dyDescent="0.25">
      <c r="A681" t="s">
        <v>54</v>
      </c>
      <c r="B681" t="s">
        <v>123</v>
      </c>
      <c r="C681" t="s">
        <v>123</v>
      </c>
      <c r="D681" t="s">
        <v>124</v>
      </c>
      <c r="E681" t="s">
        <v>1348</v>
      </c>
      <c r="F681" t="s">
        <v>19</v>
      </c>
      <c r="G681" s="2">
        <v>46134</v>
      </c>
      <c r="H681" s="2">
        <v>46233</v>
      </c>
      <c r="I681" s="3">
        <v>66066596</v>
      </c>
      <c r="J681" t="s">
        <v>20</v>
      </c>
      <c r="K681" s="1">
        <v>46142</v>
      </c>
      <c r="L681" s="3">
        <v>67440121</v>
      </c>
      <c r="M681" s="3">
        <v>66175507.060082003</v>
      </c>
      <c r="N681" s="3">
        <v>66175507.060082003</v>
      </c>
      <c r="O681" s="6" t="s">
        <v>147</v>
      </c>
      <c r="P681" t="s">
        <v>196</v>
      </c>
      <c r="Q681" s="3">
        <v>91</v>
      </c>
      <c r="R681" s="5">
        <v>0.25277699999999997</v>
      </c>
      <c r="S681" s="6" t="s">
        <v>141</v>
      </c>
      <c r="T681" t="s">
        <v>21</v>
      </c>
    </row>
    <row r="682" spans="1:20" x14ac:dyDescent="0.25">
      <c r="A682" t="s">
        <v>54</v>
      </c>
      <c r="B682" t="s">
        <v>123</v>
      </c>
      <c r="C682" t="s">
        <v>123</v>
      </c>
      <c r="D682" t="s">
        <v>124</v>
      </c>
      <c r="E682" t="s">
        <v>1301</v>
      </c>
      <c r="F682" t="s">
        <v>19</v>
      </c>
      <c r="G682" s="2">
        <v>46105</v>
      </c>
      <c r="H682" s="2">
        <v>46204</v>
      </c>
      <c r="I682" s="3">
        <v>359984442</v>
      </c>
      <c r="J682" t="s">
        <v>20</v>
      </c>
      <c r="K682" s="1">
        <v>46142</v>
      </c>
      <c r="L682" s="3">
        <v>367468519</v>
      </c>
      <c r="M682" s="3">
        <v>362745571.65702599</v>
      </c>
      <c r="N682" s="3">
        <v>362745571.65702599</v>
      </c>
      <c r="O682" s="6" t="s">
        <v>317</v>
      </c>
      <c r="P682" t="s">
        <v>201</v>
      </c>
      <c r="Q682" s="3">
        <v>62</v>
      </c>
      <c r="R682" s="5">
        <v>0.17222199999999999</v>
      </c>
      <c r="S682" s="6" t="s">
        <v>145</v>
      </c>
      <c r="T682" t="s">
        <v>21</v>
      </c>
    </row>
    <row r="683" spans="1:20" x14ac:dyDescent="0.25">
      <c r="A683" t="s">
        <v>54</v>
      </c>
      <c r="B683" t="s">
        <v>123</v>
      </c>
      <c r="C683" t="s">
        <v>123</v>
      </c>
      <c r="D683" t="s">
        <v>124</v>
      </c>
      <c r="E683" t="s">
        <v>42</v>
      </c>
      <c r="F683" t="s">
        <v>19</v>
      </c>
      <c r="G683" s="2">
        <v>46079</v>
      </c>
      <c r="H683" s="2">
        <v>46176</v>
      </c>
      <c r="I683" s="3">
        <v>301411708</v>
      </c>
      <c r="J683" t="s">
        <v>20</v>
      </c>
      <c r="K683" s="1">
        <v>46142</v>
      </c>
      <c r="L683" s="3">
        <v>303563788</v>
      </c>
      <c r="M683" s="3">
        <v>301411708.40201002</v>
      </c>
      <c r="N683" s="3">
        <v>301411708.40201002</v>
      </c>
      <c r="O683" s="6" t="s">
        <v>1287</v>
      </c>
      <c r="P683" t="s">
        <v>1349</v>
      </c>
      <c r="Q683" s="3">
        <v>34</v>
      </c>
      <c r="R683" s="5">
        <v>9.4444E-2</v>
      </c>
      <c r="S683" s="6" t="s">
        <v>145</v>
      </c>
      <c r="T683" t="s">
        <v>21</v>
      </c>
    </row>
    <row r="684" spans="1:20" x14ac:dyDescent="0.25">
      <c r="A684" t="s">
        <v>54</v>
      </c>
      <c r="B684" t="s">
        <v>123</v>
      </c>
      <c r="C684" t="s">
        <v>123</v>
      </c>
      <c r="D684" t="s">
        <v>124</v>
      </c>
      <c r="E684" t="s">
        <v>43</v>
      </c>
      <c r="F684" t="s">
        <v>19</v>
      </c>
      <c r="G684" s="2">
        <v>46043</v>
      </c>
      <c r="H684" s="2">
        <v>46146</v>
      </c>
      <c r="I684" s="3">
        <v>454333614</v>
      </c>
      <c r="J684" t="s">
        <v>20</v>
      </c>
      <c r="K684" s="1">
        <v>46142</v>
      </c>
      <c r="L684" s="3">
        <v>459390347</v>
      </c>
      <c r="M684" s="3">
        <v>459004782.98229498</v>
      </c>
      <c r="N684" s="3">
        <v>459004782.98229498</v>
      </c>
      <c r="O684" s="6"/>
      <c r="P684" t="s">
        <v>196</v>
      </c>
      <c r="Q684" s="3">
        <v>4</v>
      </c>
      <c r="R684" s="5">
        <v>1.1110999999999999E-2</v>
      </c>
      <c r="S684" s="6" t="s">
        <v>143</v>
      </c>
      <c r="T684" t="s">
        <v>21</v>
      </c>
    </row>
    <row r="685" spans="1:20" x14ac:dyDescent="0.25">
      <c r="A685" t="s">
        <v>54</v>
      </c>
      <c r="B685" t="s">
        <v>123</v>
      </c>
      <c r="C685" t="s">
        <v>123</v>
      </c>
      <c r="D685" t="s">
        <v>124</v>
      </c>
      <c r="E685" t="s">
        <v>1334</v>
      </c>
      <c r="F685" t="s">
        <v>19</v>
      </c>
      <c r="G685" s="2">
        <v>46140</v>
      </c>
      <c r="H685" s="2">
        <v>46239</v>
      </c>
      <c r="I685" s="3">
        <v>65436800</v>
      </c>
      <c r="J685" t="s">
        <v>20</v>
      </c>
      <c r="K685" s="1">
        <v>46142</v>
      </c>
      <c r="L685" s="3">
        <v>66797231</v>
      </c>
      <c r="M685" s="3">
        <v>65463734.723678999</v>
      </c>
      <c r="N685" s="3">
        <v>65463734.723678999</v>
      </c>
      <c r="O685" s="6" t="s">
        <v>164</v>
      </c>
      <c r="P685" t="s">
        <v>196</v>
      </c>
      <c r="Q685" s="3">
        <v>97</v>
      </c>
      <c r="R685" s="5">
        <v>0.26944400000000002</v>
      </c>
      <c r="S685" s="6" t="s">
        <v>141</v>
      </c>
      <c r="T685" t="s">
        <v>21</v>
      </c>
    </row>
    <row r="686" spans="1:20" x14ac:dyDescent="0.25">
      <c r="A686" t="s">
        <v>54</v>
      </c>
      <c r="B686" t="s">
        <v>123</v>
      </c>
      <c r="C686" t="s">
        <v>123</v>
      </c>
      <c r="D686" t="s">
        <v>124</v>
      </c>
      <c r="E686" t="s">
        <v>1354</v>
      </c>
      <c r="F686" t="s">
        <v>19</v>
      </c>
      <c r="G686" s="2">
        <v>46118</v>
      </c>
      <c r="H686" s="2">
        <v>46216</v>
      </c>
      <c r="I686" s="3">
        <v>26438178</v>
      </c>
      <c r="J686" t="s">
        <v>20</v>
      </c>
      <c r="K686" s="1">
        <v>46142</v>
      </c>
      <c r="L686" s="3">
        <v>26982276</v>
      </c>
      <c r="M686" s="3">
        <v>26569387.714910001</v>
      </c>
      <c r="N686" s="3">
        <v>26569387.714910001</v>
      </c>
      <c r="O686" s="6" t="s">
        <v>370</v>
      </c>
      <c r="P686" t="s">
        <v>201</v>
      </c>
      <c r="Q686" s="3">
        <v>74</v>
      </c>
      <c r="R686" s="5">
        <v>0.20555499999999999</v>
      </c>
      <c r="S686" s="6" t="s">
        <v>145</v>
      </c>
      <c r="T686" t="s">
        <v>21</v>
      </c>
    </row>
    <row r="687" spans="1:20" x14ac:dyDescent="0.25">
      <c r="A687" t="s">
        <v>54</v>
      </c>
      <c r="B687" t="s">
        <v>123</v>
      </c>
      <c r="C687" t="s">
        <v>123</v>
      </c>
      <c r="D687" t="s">
        <v>124</v>
      </c>
      <c r="E687" t="s">
        <v>1306</v>
      </c>
      <c r="F687" t="s">
        <v>19</v>
      </c>
      <c r="G687" s="2">
        <v>46091</v>
      </c>
      <c r="H687" s="2">
        <v>46189</v>
      </c>
      <c r="I687" s="3">
        <v>25349492</v>
      </c>
      <c r="J687" t="s">
        <v>20</v>
      </c>
      <c r="K687" s="1">
        <v>46142</v>
      </c>
      <c r="L687" s="3">
        <v>25860538</v>
      </c>
      <c r="M687" s="3">
        <v>25607789.121371999</v>
      </c>
      <c r="N687" s="3">
        <v>25607789.121371999</v>
      </c>
      <c r="O687" s="6"/>
      <c r="P687" t="s">
        <v>196</v>
      </c>
      <c r="Q687" s="3">
        <v>47</v>
      </c>
      <c r="R687" s="5">
        <v>0.130555</v>
      </c>
      <c r="S687" s="6" t="s">
        <v>145</v>
      </c>
      <c r="T687" t="s">
        <v>21</v>
      </c>
    </row>
    <row r="688" spans="1:20" x14ac:dyDescent="0.25">
      <c r="A688" t="s">
        <v>54</v>
      </c>
      <c r="B688" t="s">
        <v>123</v>
      </c>
      <c r="C688" t="s">
        <v>123</v>
      </c>
      <c r="D688" t="s">
        <v>124</v>
      </c>
      <c r="E688" t="s">
        <v>1373</v>
      </c>
      <c r="F688" t="s">
        <v>19</v>
      </c>
      <c r="G688" s="2">
        <v>46122</v>
      </c>
      <c r="H688" s="2">
        <v>46223</v>
      </c>
      <c r="I688" s="3">
        <v>26466736</v>
      </c>
      <c r="J688" t="s">
        <v>20</v>
      </c>
      <c r="K688" s="1">
        <v>46142</v>
      </c>
      <c r="L688" s="3">
        <v>27028095</v>
      </c>
      <c r="M688" s="3">
        <v>26576036.617141999</v>
      </c>
      <c r="N688" s="3">
        <v>26576036.617141999</v>
      </c>
      <c r="O688" s="6" t="s">
        <v>1374</v>
      </c>
      <c r="P688" t="s">
        <v>196</v>
      </c>
      <c r="Q688" s="3">
        <v>81</v>
      </c>
      <c r="R688" s="5">
        <v>0.22500000000000001</v>
      </c>
      <c r="S688" s="6" t="s">
        <v>145</v>
      </c>
      <c r="T688" t="s">
        <v>21</v>
      </c>
    </row>
    <row r="689" spans="1:20" x14ac:dyDescent="0.25">
      <c r="A689" t="s">
        <v>54</v>
      </c>
      <c r="B689" t="s">
        <v>123</v>
      </c>
      <c r="C689" t="s">
        <v>123</v>
      </c>
      <c r="D689" t="s">
        <v>124</v>
      </c>
      <c r="E689" t="s">
        <v>76</v>
      </c>
      <c r="F689" t="s">
        <v>19</v>
      </c>
      <c r="G689" s="2">
        <v>46080</v>
      </c>
      <c r="H689" s="2">
        <v>46171</v>
      </c>
      <c r="I689" s="3">
        <v>97492286</v>
      </c>
      <c r="J689" t="s">
        <v>20</v>
      </c>
      <c r="K689" s="1">
        <v>46142</v>
      </c>
      <c r="L689" s="3">
        <v>99089210</v>
      </c>
      <c r="M689" s="3">
        <v>98489409.496168002</v>
      </c>
      <c r="N689" s="3">
        <v>98489409.496168002</v>
      </c>
      <c r="O689" s="6" t="s">
        <v>268</v>
      </c>
      <c r="P689" t="s">
        <v>201</v>
      </c>
      <c r="Q689" s="3">
        <v>29</v>
      </c>
      <c r="R689" s="5">
        <v>8.0555000000000002E-2</v>
      </c>
      <c r="S689" s="6" t="s">
        <v>143</v>
      </c>
      <c r="T689" t="s">
        <v>21</v>
      </c>
    </row>
    <row r="690" spans="1:20" x14ac:dyDescent="0.25">
      <c r="A690" t="s">
        <v>15</v>
      </c>
      <c r="B690" t="s">
        <v>125</v>
      </c>
      <c r="C690" t="s">
        <v>126</v>
      </c>
      <c r="D690" t="s">
        <v>127</v>
      </c>
      <c r="E690" t="s">
        <v>128</v>
      </c>
      <c r="F690" t="s">
        <v>88</v>
      </c>
      <c r="G690" s="2">
        <v>46043</v>
      </c>
      <c r="H690" s="2">
        <v>46146</v>
      </c>
      <c r="I690" s="3">
        <v>56778.190600000002</v>
      </c>
      <c r="J690" t="s">
        <v>90</v>
      </c>
      <c r="K690" s="1">
        <v>46142</v>
      </c>
      <c r="L690" s="3">
        <v>57743.419800000003</v>
      </c>
      <c r="M690" s="3">
        <v>57704.949832999999</v>
      </c>
      <c r="N690" s="3">
        <v>52036015.561806999</v>
      </c>
      <c r="O690" s="6"/>
      <c r="P690" t="s">
        <v>196</v>
      </c>
      <c r="Q690" s="3">
        <v>4</v>
      </c>
      <c r="R690" s="5">
        <v>1.1110999999999999E-2</v>
      </c>
      <c r="S690" s="6" t="s">
        <v>143</v>
      </c>
      <c r="T690" t="s">
        <v>21</v>
      </c>
    </row>
    <row r="691" spans="1:20" x14ac:dyDescent="0.25">
      <c r="A691" t="s">
        <v>15</v>
      </c>
      <c r="B691" t="s">
        <v>125</v>
      </c>
      <c r="C691" t="s">
        <v>126</v>
      </c>
      <c r="D691" t="s">
        <v>127</v>
      </c>
      <c r="E691" t="s">
        <v>128</v>
      </c>
      <c r="F691" t="s">
        <v>88</v>
      </c>
      <c r="G691" s="2">
        <v>46043</v>
      </c>
      <c r="H691" s="2">
        <v>46146</v>
      </c>
      <c r="I691" s="3">
        <v>24203.4352</v>
      </c>
      <c r="J691" t="s">
        <v>90</v>
      </c>
      <c r="K691" s="1">
        <v>46142</v>
      </c>
      <c r="L691" s="3">
        <v>24614.893599999999</v>
      </c>
      <c r="M691" s="3">
        <v>24598.494604</v>
      </c>
      <c r="N691" s="3">
        <v>22181938.49374</v>
      </c>
      <c r="O691" s="6"/>
      <c r="P691" t="s">
        <v>196</v>
      </c>
      <c r="Q691" s="3">
        <v>4</v>
      </c>
      <c r="R691" s="5">
        <v>1.1110999999999999E-2</v>
      </c>
      <c r="S691" s="6" t="s">
        <v>143</v>
      </c>
      <c r="T691" t="s">
        <v>21</v>
      </c>
    </row>
    <row r="692" spans="1:20" x14ac:dyDescent="0.25">
      <c r="A692" t="s">
        <v>15</v>
      </c>
      <c r="B692" t="s">
        <v>125</v>
      </c>
      <c r="C692" t="s">
        <v>126</v>
      </c>
      <c r="D692" t="s">
        <v>127</v>
      </c>
      <c r="E692" t="s">
        <v>128</v>
      </c>
      <c r="F692" t="s">
        <v>88</v>
      </c>
      <c r="G692" s="2">
        <v>46043</v>
      </c>
      <c r="H692" s="2">
        <v>46146</v>
      </c>
      <c r="I692" s="3">
        <v>57796.053999999996</v>
      </c>
      <c r="J692" t="s">
        <v>90</v>
      </c>
      <c r="K692" s="1">
        <v>46142</v>
      </c>
      <c r="L692" s="3">
        <v>58788.219599999997</v>
      </c>
      <c r="M692" s="3">
        <v>58749.053564000002</v>
      </c>
      <c r="N692" s="3">
        <v>52977546.542135</v>
      </c>
      <c r="O692" s="6"/>
      <c r="P692" t="s">
        <v>196</v>
      </c>
      <c r="Q692" s="3">
        <v>4</v>
      </c>
      <c r="R692" s="5">
        <v>1.1110999999999999E-2</v>
      </c>
      <c r="S692" s="6" t="s">
        <v>143</v>
      </c>
      <c r="T692" t="s">
        <v>21</v>
      </c>
    </row>
    <row r="693" spans="1:20" x14ac:dyDescent="0.25">
      <c r="A693" t="s">
        <v>15</v>
      </c>
      <c r="B693" t="s">
        <v>125</v>
      </c>
      <c r="C693" t="s">
        <v>126</v>
      </c>
      <c r="D693" t="s">
        <v>127</v>
      </c>
      <c r="E693" t="s">
        <v>1326</v>
      </c>
      <c r="F693" t="s">
        <v>88</v>
      </c>
      <c r="G693" s="2">
        <v>46083</v>
      </c>
      <c r="H693" s="2">
        <v>46178</v>
      </c>
      <c r="I693" s="3">
        <v>83392.049899999998</v>
      </c>
      <c r="J693" t="s">
        <v>90</v>
      </c>
      <c r="K693" s="1">
        <v>46142</v>
      </c>
      <c r="L693" s="3">
        <v>84712.423999999999</v>
      </c>
      <c r="M693" s="3">
        <v>84207.180915000004</v>
      </c>
      <c r="N693" s="3">
        <v>75934667.461471006</v>
      </c>
      <c r="O693" s="6"/>
      <c r="P693" t="s">
        <v>196</v>
      </c>
      <c r="Q693" s="3">
        <v>36</v>
      </c>
      <c r="R693" s="5">
        <v>0.1</v>
      </c>
      <c r="S693" s="6" t="s">
        <v>145</v>
      </c>
      <c r="T693" t="s">
        <v>21</v>
      </c>
    </row>
    <row r="694" spans="1:20" x14ac:dyDescent="0.25">
      <c r="A694" t="s">
        <v>15</v>
      </c>
      <c r="B694" t="s">
        <v>125</v>
      </c>
      <c r="C694" t="s">
        <v>126</v>
      </c>
      <c r="D694" t="s">
        <v>127</v>
      </c>
      <c r="E694" t="s">
        <v>1326</v>
      </c>
      <c r="F694" t="s">
        <v>88</v>
      </c>
      <c r="G694" s="2">
        <v>46083</v>
      </c>
      <c r="H694" s="2">
        <v>46178</v>
      </c>
      <c r="I694" s="3">
        <v>38566.897199999999</v>
      </c>
      <c r="J694" t="s">
        <v>90</v>
      </c>
      <c r="K694" s="1">
        <v>46142</v>
      </c>
      <c r="L694" s="3">
        <v>39177.539700000001</v>
      </c>
      <c r="M694" s="3">
        <v>38943.876441</v>
      </c>
      <c r="N694" s="3">
        <v>35118030.019753002</v>
      </c>
      <c r="O694" s="6"/>
      <c r="P694" t="s">
        <v>196</v>
      </c>
      <c r="Q694" s="3">
        <v>36</v>
      </c>
      <c r="R694" s="5">
        <v>0.1</v>
      </c>
      <c r="S694" s="6" t="s">
        <v>145</v>
      </c>
      <c r="T694" t="s">
        <v>21</v>
      </c>
    </row>
    <row r="695" spans="1:20" x14ac:dyDescent="0.25">
      <c r="A695" t="s">
        <v>15</v>
      </c>
      <c r="B695" t="s">
        <v>125</v>
      </c>
      <c r="C695" t="s">
        <v>126</v>
      </c>
      <c r="D695" t="s">
        <v>127</v>
      </c>
      <c r="E695" t="s">
        <v>1326</v>
      </c>
      <c r="F695" t="s">
        <v>88</v>
      </c>
      <c r="G695" s="2">
        <v>46083</v>
      </c>
      <c r="H695" s="2">
        <v>46178</v>
      </c>
      <c r="I695" s="3">
        <v>56535.656900000002</v>
      </c>
      <c r="J695" t="s">
        <v>90</v>
      </c>
      <c r="K695" s="1">
        <v>46142</v>
      </c>
      <c r="L695" s="3">
        <v>57430.804799999998</v>
      </c>
      <c r="M695" s="3">
        <v>57088.275149000001</v>
      </c>
      <c r="N695" s="3">
        <v>51479922.998457</v>
      </c>
      <c r="O695" s="6"/>
      <c r="P695" t="s">
        <v>196</v>
      </c>
      <c r="Q695" s="3">
        <v>36</v>
      </c>
      <c r="R695" s="5">
        <v>0.1</v>
      </c>
      <c r="S695" s="6" t="s">
        <v>145</v>
      </c>
      <c r="T695" t="s">
        <v>21</v>
      </c>
    </row>
    <row r="696" spans="1:20" x14ac:dyDescent="0.25">
      <c r="A696" t="s">
        <v>15</v>
      </c>
      <c r="B696" t="s">
        <v>125</v>
      </c>
      <c r="C696" t="s">
        <v>126</v>
      </c>
      <c r="D696" t="s">
        <v>127</v>
      </c>
      <c r="E696" t="s">
        <v>1326</v>
      </c>
      <c r="F696" t="s">
        <v>88</v>
      </c>
      <c r="G696" s="2">
        <v>46083</v>
      </c>
      <c r="H696" s="2">
        <v>46178</v>
      </c>
      <c r="I696" s="3">
        <v>51621.229599999999</v>
      </c>
      <c r="J696" t="s">
        <v>90</v>
      </c>
      <c r="K696" s="1">
        <v>46142</v>
      </c>
      <c r="L696" s="3">
        <v>52438.565699999999</v>
      </c>
      <c r="M696" s="3">
        <v>52125.810834999997</v>
      </c>
      <c r="N696" s="3">
        <v>47004971.178561002</v>
      </c>
      <c r="O696" s="6"/>
      <c r="P696" t="s">
        <v>196</v>
      </c>
      <c r="Q696" s="3">
        <v>36</v>
      </c>
      <c r="R696" s="5">
        <v>0.1</v>
      </c>
      <c r="S696" s="6" t="s">
        <v>145</v>
      </c>
      <c r="T696" t="s">
        <v>21</v>
      </c>
    </row>
    <row r="697" spans="1:20" x14ac:dyDescent="0.25">
      <c r="A697" t="s">
        <v>15</v>
      </c>
      <c r="B697" t="s">
        <v>125</v>
      </c>
      <c r="C697" t="s">
        <v>126</v>
      </c>
      <c r="D697" t="s">
        <v>127</v>
      </c>
      <c r="E697" t="s">
        <v>1314</v>
      </c>
      <c r="F697" t="s">
        <v>88</v>
      </c>
      <c r="G697" s="2">
        <v>46085</v>
      </c>
      <c r="H697" s="2">
        <v>46181</v>
      </c>
      <c r="I697" s="3">
        <v>78041.273799999995</v>
      </c>
      <c r="J697" t="s">
        <v>90</v>
      </c>
      <c r="K697" s="1">
        <v>46142</v>
      </c>
      <c r="L697" s="3">
        <v>79289.934200000003</v>
      </c>
      <c r="M697" s="3">
        <v>78777.877993000002</v>
      </c>
      <c r="N697" s="3">
        <v>71038739.259008005</v>
      </c>
      <c r="O697" s="6" t="s">
        <v>443</v>
      </c>
      <c r="P697" t="s">
        <v>196</v>
      </c>
      <c r="Q697" s="3">
        <v>39</v>
      </c>
      <c r="R697" s="5">
        <v>0.108333</v>
      </c>
      <c r="S697" s="6" t="s">
        <v>145</v>
      </c>
      <c r="T697" t="s">
        <v>21</v>
      </c>
    </row>
    <row r="698" spans="1:20" x14ac:dyDescent="0.25">
      <c r="A698" t="s">
        <v>15</v>
      </c>
      <c r="B698" t="s">
        <v>125</v>
      </c>
      <c r="C698" t="s">
        <v>126</v>
      </c>
      <c r="D698" t="s">
        <v>127</v>
      </c>
      <c r="E698" t="s">
        <v>1315</v>
      </c>
      <c r="F698" t="s">
        <v>88</v>
      </c>
      <c r="G698" s="2">
        <v>46086</v>
      </c>
      <c r="H698" s="2">
        <v>46182</v>
      </c>
      <c r="I698" s="3">
        <v>135512.3548</v>
      </c>
      <c r="J698" t="s">
        <v>90</v>
      </c>
      <c r="K698" s="1">
        <v>46142</v>
      </c>
      <c r="L698" s="3">
        <v>137680.55249999999</v>
      </c>
      <c r="M698" s="3">
        <v>136768.76076199999</v>
      </c>
      <c r="N698" s="3">
        <v>123332597.70437101</v>
      </c>
      <c r="O698" s="6" t="s">
        <v>192</v>
      </c>
      <c r="P698" t="s">
        <v>196</v>
      </c>
      <c r="Q698" s="3">
        <v>40</v>
      </c>
      <c r="R698" s="5">
        <v>0.111111</v>
      </c>
      <c r="S698" s="6" t="s">
        <v>145</v>
      </c>
      <c r="T698" t="s">
        <v>21</v>
      </c>
    </row>
    <row r="699" spans="1:20" x14ac:dyDescent="0.25">
      <c r="A699" t="s">
        <v>15</v>
      </c>
      <c r="B699" t="s">
        <v>125</v>
      </c>
      <c r="C699" t="s">
        <v>126</v>
      </c>
      <c r="D699" t="s">
        <v>127</v>
      </c>
      <c r="E699" t="s">
        <v>1315</v>
      </c>
      <c r="F699" t="s">
        <v>88</v>
      </c>
      <c r="G699" s="2">
        <v>46086</v>
      </c>
      <c r="H699" s="2">
        <v>46182</v>
      </c>
      <c r="I699" s="3">
        <v>25104.147300000001</v>
      </c>
      <c r="J699" t="s">
        <v>90</v>
      </c>
      <c r="K699" s="1">
        <v>46142</v>
      </c>
      <c r="L699" s="3">
        <v>25505.813699999999</v>
      </c>
      <c r="M699" s="3">
        <v>25336.901026</v>
      </c>
      <c r="N699" s="3">
        <v>22847803.869647998</v>
      </c>
      <c r="O699" s="6" t="s">
        <v>192</v>
      </c>
      <c r="P699" t="s">
        <v>196</v>
      </c>
      <c r="Q699" s="3">
        <v>40</v>
      </c>
      <c r="R699" s="5">
        <v>0.111111</v>
      </c>
      <c r="S699" s="6" t="s">
        <v>145</v>
      </c>
      <c r="T699" t="s">
        <v>21</v>
      </c>
    </row>
    <row r="700" spans="1:20" x14ac:dyDescent="0.25">
      <c r="A700" t="s">
        <v>15</v>
      </c>
      <c r="B700" t="s">
        <v>125</v>
      </c>
      <c r="C700" t="s">
        <v>126</v>
      </c>
      <c r="D700" t="s">
        <v>127</v>
      </c>
      <c r="E700" t="s">
        <v>1315</v>
      </c>
      <c r="F700" t="s">
        <v>88</v>
      </c>
      <c r="G700" s="2">
        <v>46086</v>
      </c>
      <c r="H700" s="2">
        <v>46182</v>
      </c>
      <c r="I700" s="3">
        <v>44563.361900000004</v>
      </c>
      <c r="J700" t="s">
        <v>90</v>
      </c>
      <c r="K700" s="1">
        <v>46142</v>
      </c>
      <c r="L700" s="3">
        <v>45276.375699999997</v>
      </c>
      <c r="M700" s="3">
        <v>44976.532152</v>
      </c>
      <c r="N700" s="3">
        <v>40558037.633674003</v>
      </c>
      <c r="O700" s="6" t="s">
        <v>192</v>
      </c>
      <c r="P700" t="s">
        <v>196</v>
      </c>
      <c r="Q700" s="3">
        <v>40</v>
      </c>
      <c r="R700" s="5">
        <v>0.111111</v>
      </c>
      <c r="S700" s="6" t="s">
        <v>145</v>
      </c>
      <c r="T700" t="s">
        <v>21</v>
      </c>
    </row>
    <row r="701" spans="1:20" x14ac:dyDescent="0.25">
      <c r="A701" t="s">
        <v>15</v>
      </c>
      <c r="B701" t="s">
        <v>125</v>
      </c>
      <c r="C701" t="s">
        <v>126</v>
      </c>
      <c r="D701" t="s">
        <v>127</v>
      </c>
      <c r="E701" t="s">
        <v>1315</v>
      </c>
      <c r="F701" t="s">
        <v>88</v>
      </c>
      <c r="G701" s="2">
        <v>46086</v>
      </c>
      <c r="H701" s="2">
        <v>46182</v>
      </c>
      <c r="I701" s="3">
        <v>32171.202300000001</v>
      </c>
      <c r="J701" t="s">
        <v>90</v>
      </c>
      <c r="K701" s="1">
        <v>46142</v>
      </c>
      <c r="L701" s="3">
        <v>32685.941500000001</v>
      </c>
      <c r="M701" s="3">
        <v>32469.478310999999</v>
      </c>
      <c r="N701" s="3">
        <v>29279676.76196</v>
      </c>
      <c r="O701" s="6" t="s">
        <v>192</v>
      </c>
      <c r="P701" t="s">
        <v>196</v>
      </c>
      <c r="Q701" s="3">
        <v>40</v>
      </c>
      <c r="R701" s="5">
        <v>0.111111</v>
      </c>
      <c r="S701" s="6" t="s">
        <v>145</v>
      </c>
      <c r="T701" t="s">
        <v>21</v>
      </c>
    </row>
    <row r="702" spans="1:20" x14ac:dyDescent="0.25">
      <c r="A702" t="s">
        <v>15</v>
      </c>
      <c r="B702" t="s">
        <v>125</v>
      </c>
      <c r="C702" t="s">
        <v>126</v>
      </c>
      <c r="D702" t="s">
        <v>127</v>
      </c>
      <c r="E702" t="s">
        <v>1327</v>
      </c>
      <c r="F702" t="s">
        <v>88</v>
      </c>
      <c r="G702" s="2">
        <v>46087</v>
      </c>
      <c r="H702" s="2">
        <v>46183</v>
      </c>
      <c r="I702" s="3">
        <v>58887.5</v>
      </c>
      <c r="J702" t="s">
        <v>90</v>
      </c>
      <c r="K702" s="1">
        <v>46142</v>
      </c>
      <c r="L702" s="3">
        <v>59829.7</v>
      </c>
      <c r="M702" s="3">
        <v>59423.638469999998</v>
      </c>
      <c r="N702" s="3">
        <v>53585860.227114998</v>
      </c>
      <c r="O702" s="6" t="s">
        <v>1328</v>
      </c>
      <c r="P702" t="s">
        <v>196</v>
      </c>
      <c r="Q702" s="3">
        <v>41</v>
      </c>
      <c r="R702" s="5">
        <v>0.113888</v>
      </c>
      <c r="S702" s="6" t="s">
        <v>145</v>
      </c>
      <c r="T702" t="s">
        <v>21</v>
      </c>
    </row>
    <row r="703" spans="1:20" x14ac:dyDescent="0.25">
      <c r="A703" t="s">
        <v>15</v>
      </c>
      <c r="B703" t="s">
        <v>125</v>
      </c>
      <c r="C703" t="s">
        <v>126</v>
      </c>
      <c r="D703" t="s">
        <v>127</v>
      </c>
      <c r="E703" t="s">
        <v>1368</v>
      </c>
      <c r="F703" t="s">
        <v>88</v>
      </c>
      <c r="G703" s="2">
        <v>46142</v>
      </c>
      <c r="H703" s="2">
        <v>46246</v>
      </c>
      <c r="I703" s="3">
        <v>452250</v>
      </c>
      <c r="J703" t="s">
        <v>90</v>
      </c>
      <c r="K703" s="1">
        <v>46142</v>
      </c>
      <c r="L703" s="3">
        <v>460089</v>
      </c>
      <c r="M703" s="3">
        <v>452250</v>
      </c>
      <c r="N703" s="3">
        <v>407820960</v>
      </c>
      <c r="O703" s="6"/>
      <c r="P703" t="s">
        <v>196</v>
      </c>
      <c r="Q703" s="3">
        <v>104</v>
      </c>
      <c r="R703" s="5">
        <v>0.28888799999999998</v>
      </c>
      <c r="S703" s="6" t="s">
        <v>141</v>
      </c>
      <c r="T703" t="s">
        <v>21</v>
      </c>
    </row>
    <row r="704" spans="1:20" x14ac:dyDescent="0.25">
      <c r="A704" t="s">
        <v>15</v>
      </c>
      <c r="B704" t="s">
        <v>125</v>
      </c>
      <c r="C704" t="s">
        <v>126</v>
      </c>
      <c r="D704" t="s">
        <v>127</v>
      </c>
      <c r="E704" t="s">
        <v>1372</v>
      </c>
      <c r="F704" t="s">
        <v>88</v>
      </c>
      <c r="G704" s="2">
        <v>46119</v>
      </c>
      <c r="H704" s="2">
        <v>46217</v>
      </c>
      <c r="I704" s="3">
        <v>79273.729600000006</v>
      </c>
      <c r="J704" t="s">
        <v>90</v>
      </c>
      <c r="K704" s="1">
        <v>46142</v>
      </c>
      <c r="L704" s="3">
        <v>80568.533899999995</v>
      </c>
      <c r="M704" s="3">
        <v>79573.860642</v>
      </c>
      <c r="N704" s="3">
        <v>71756524.572508007</v>
      </c>
      <c r="O704" s="6" t="s">
        <v>191</v>
      </c>
      <c r="P704" t="s">
        <v>196</v>
      </c>
      <c r="Q704" s="3">
        <v>75</v>
      </c>
      <c r="R704" s="5">
        <v>0.20833299999999999</v>
      </c>
      <c r="S704" s="6" t="s">
        <v>145</v>
      </c>
      <c r="T704" t="s">
        <v>21</v>
      </c>
    </row>
    <row r="705" spans="1:20" x14ac:dyDescent="0.25">
      <c r="A705" t="s">
        <v>15</v>
      </c>
      <c r="B705" t="s">
        <v>125</v>
      </c>
      <c r="C705" t="s">
        <v>126</v>
      </c>
      <c r="D705" t="s">
        <v>127</v>
      </c>
      <c r="E705" t="s">
        <v>1376</v>
      </c>
      <c r="F705" t="s">
        <v>88</v>
      </c>
      <c r="G705" s="2">
        <v>46125</v>
      </c>
      <c r="H705" s="2">
        <v>46224</v>
      </c>
      <c r="I705" s="3">
        <v>56140.396999999997</v>
      </c>
      <c r="J705" t="s">
        <v>90</v>
      </c>
      <c r="K705" s="1">
        <v>46142</v>
      </c>
      <c r="L705" s="3">
        <v>57066.713600000003</v>
      </c>
      <c r="M705" s="3">
        <v>56297.316935000003</v>
      </c>
      <c r="N705" s="3">
        <v>50766668.519502997</v>
      </c>
      <c r="O705" s="6" t="s">
        <v>189</v>
      </c>
      <c r="P705" t="s">
        <v>196</v>
      </c>
      <c r="Q705" s="3">
        <v>82</v>
      </c>
      <c r="R705" s="5">
        <v>0.22777700000000001</v>
      </c>
      <c r="S705" s="6" t="s">
        <v>145</v>
      </c>
      <c r="T705" t="s">
        <v>21</v>
      </c>
    </row>
    <row r="706" spans="1:20" x14ac:dyDescent="0.25">
      <c r="A706" t="s">
        <v>15</v>
      </c>
      <c r="B706" t="s">
        <v>125</v>
      </c>
      <c r="C706" t="s">
        <v>126</v>
      </c>
      <c r="D706" t="s">
        <v>127</v>
      </c>
      <c r="E706" t="s">
        <v>1317</v>
      </c>
      <c r="F706" t="s">
        <v>88</v>
      </c>
      <c r="G706" s="2">
        <v>46098</v>
      </c>
      <c r="H706" s="2">
        <v>46196</v>
      </c>
      <c r="I706" s="3">
        <v>44687.448299999996</v>
      </c>
      <c r="J706" t="s">
        <v>90</v>
      </c>
      <c r="K706" s="1">
        <v>46142</v>
      </c>
      <c r="L706" s="3">
        <v>45417.3433</v>
      </c>
      <c r="M706" s="3">
        <v>45012.233201000003</v>
      </c>
      <c r="N706" s="3">
        <v>40590231.411504</v>
      </c>
      <c r="O706" s="6" t="s">
        <v>287</v>
      </c>
      <c r="P706" t="s">
        <v>196</v>
      </c>
      <c r="Q706" s="3">
        <v>54</v>
      </c>
      <c r="R706" s="5">
        <v>0.15</v>
      </c>
      <c r="S706" s="6" t="s">
        <v>145</v>
      </c>
      <c r="T706" t="s">
        <v>21</v>
      </c>
    </row>
    <row r="707" spans="1:20" x14ac:dyDescent="0.25">
      <c r="A707" t="s">
        <v>15</v>
      </c>
      <c r="B707" t="s">
        <v>125</v>
      </c>
      <c r="C707" t="s">
        <v>126</v>
      </c>
      <c r="D707" t="s">
        <v>127</v>
      </c>
      <c r="E707" t="s">
        <v>1317</v>
      </c>
      <c r="F707" t="s">
        <v>88</v>
      </c>
      <c r="G707" s="2">
        <v>46098</v>
      </c>
      <c r="H707" s="2">
        <v>46196</v>
      </c>
      <c r="I707" s="3">
        <v>40971.784399999997</v>
      </c>
      <c r="J707" t="s">
        <v>90</v>
      </c>
      <c r="K707" s="1">
        <v>46142</v>
      </c>
      <c r="L707" s="3">
        <v>41640.9902</v>
      </c>
      <c r="M707" s="3">
        <v>41269.564122999996</v>
      </c>
      <c r="N707" s="3">
        <v>37215242.143460996</v>
      </c>
      <c r="O707" s="6" t="s">
        <v>287</v>
      </c>
      <c r="P707" t="s">
        <v>196</v>
      </c>
      <c r="Q707" s="3">
        <v>54</v>
      </c>
      <c r="R707" s="5">
        <v>0.15</v>
      </c>
      <c r="S707" s="6" t="s">
        <v>145</v>
      </c>
      <c r="T707" t="s">
        <v>21</v>
      </c>
    </row>
    <row r="708" spans="1:20" x14ac:dyDescent="0.25">
      <c r="A708" t="s">
        <v>15</v>
      </c>
      <c r="B708" t="s">
        <v>125</v>
      </c>
      <c r="C708" t="s">
        <v>126</v>
      </c>
      <c r="D708" t="s">
        <v>127</v>
      </c>
      <c r="E708" t="s">
        <v>93</v>
      </c>
      <c r="F708" t="s">
        <v>88</v>
      </c>
      <c r="G708" s="2">
        <v>46063</v>
      </c>
      <c r="H708" s="2">
        <v>46168</v>
      </c>
      <c r="I708" s="3">
        <v>57500.800000000003</v>
      </c>
      <c r="J708" t="s">
        <v>90</v>
      </c>
      <c r="K708" s="1">
        <v>46142</v>
      </c>
      <c r="L708" s="3">
        <v>58238.726900000001</v>
      </c>
      <c r="M708" s="3">
        <v>57987.447958999997</v>
      </c>
      <c r="N708" s="3">
        <v>52290761.071368001</v>
      </c>
      <c r="O708" s="6" t="s">
        <v>180</v>
      </c>
      <c r="P708" t="s">
        <v>196</v>
      </c>
      <c r="Q708" s="3">
        <v>26</v>
      </c>
      <c r="R708" s="5">
        <v>7.2221999999999995E-2</v>
      </c>
      <c r="S708" s="6" t="s">
        <v>143</v>
      </c>
      <c r="T708" t="s">
        <v>21</v>
      </c>
    </row>
    <row r="709" spans="1:20" x14ac:dyDescent="0.25">
      <c r="A709" t="s">
        <v>15</v>
      </c>
      <c r="B709" t="s">
        <v>125</v>
      </c>
      <c r="C709" t="s">
        <v>126</v>
      </c>
      <c r="D709" t="s">
        <v>127</v>
      </c>
      <c r="E709" t="s">
        <v>1329</v>
      </c>
      <c r="F709" t="s">
        <v>88</v>
      </c>
      <c r="G709" s="2">
        <v>46101</v>
      </c>
      <c r="H709" s="2">
        <v>46199</v>
      </c>
      <c r="I709" s="3">
        <v>60600.002</v>
      </c>
      <c r="J709" t="s">
        <v>90</v>
      </c>
      <c r="K709" s="1">
        <v>46142</v>
      </c>
      <c r="L709" s="3">
        <v>61589.802000000003</v>
      </c>
      <c r="M709" s="3">
        <v>61010.205051999998</v>
      </c>
      <c r="N709" s="3">
        <v>55016562.507697001</v>
      </c>
      <c r="O709" s="6" t="s">
        <v>1260</v>
      </c>
      <c r="P709" t="s">
        <v>196</v>
      </c>
      <c r="Q709" s="3">
        <v>57</v>
      </c>
      <c r="R709" s="5">
        <v>0.158333</v>
      </c>
      <c r="S709" s="6" t="s">
        <v>145</v>
      </c>
      <c r="T709" t="s">
        <v>21</v>
      </c>
    </row>
    <row r="710" spans="1:20" x14ac:dyDescent="0.25">
      <c r="A710" t="s">
        <v>15</v>
      </c>
      <c r="B710" t="s">
        <v>125</v>
      </c>
      <c r="C710" t="s">
        <v>126</v>
      </c>
      <c r="D710" t="s">
        <v>127</v>
      </c>
      <c r="E710" t="s">
        <v>129</v>
      </c>
      <c r="F710" t="s">
        <v>88</v>
      </c>
      <c r="G710" s="2">
        <v>46064</v>
      </c>
      <c r="H710" s="2">
        <v>46169</v>
      </c>
      <c r="I710" s="3">
        <v>15954.7138</v>
      </c>
      <c r="J710" t="s">
        <v>90</v>
      </c>
      <c r="K710" s="1">
        <v>46142</v>
      </c>
      <c r="L710" s="3">
        <v>16233.9213</v>
      </c>
      <c r="M710" s="3">
        <v>16161.195917999999</v>
      </c>
      <c r="N710" s="3">
        <v>14573520.031346999</v>
      </c>
      <c r="O710" s="6" t="s">
        <v>191</v>
      </c>
      <c r="P710" t="s">
        <v>196</v>
      </c>
      <c r="Q710" s="3">
        <v>27</v>
      </c>
      <c r="R710" s="5">
        <v>7.4999999999999997E-2</v>
      </c>
      <c r="S710" s="6" t="s">
        <v>143</v>
      </c>
      <c r="T710" t="s">
        <v>21</v>
      </c>
    </row>
    <row r="711" spans="1:20" x14ac:dyDescent="0.25">
      <c r="A711" t="s">
        <v>15</v>
      </c>
      <c r="B711" t="s">
        <v>125</v>
      </c>
      <c r="C711" t="s">
        <v>126</v>
      </c>
      <c r="D711" t="s">
        <v>127</v>
      </c>
      <c r="E711" t="s">
        <v>1377</v>
      </c>
      <c r="F711" t="s">
        <v>88</v>
      </c>
      <c r="G711" s="2">
        <v>46129</v>
      </c>
      <c r="H711" s="2">
        <v>46230</v>
      </c>
      <c r="I711" s="3">
        <v>256200.35490000001</v>
      </c>
      <c r="J711" t="s">
        <v>90</v>
      </c>
      <c r="K711" s="1">
        <v>46142</v>
      </c>
      <c r="L711" s="3">
        <v>260513.06090000001</v>
      </c>
      <c r="M711" s="3">
        <v>256747.43189899999</v>
      </c>
      <c r="N711" s="3">
        <v>231524564.189078</v>
      </c>
      <c r="O711" s="6" t="s">
        <v>1378</v>
      </c>
      <c r="P711" t="s">
        <v>1349</v>
      </c>
      <c r="Q711" s="3">
        <v>88</v>
      </c>
      <c r="R711" s="5">
        <v>0.24444399999999999</v>
      </c>
      <c r="S711" s="6" t="s">
        <v>145</v>
      </c>
      <c r="T711" t="s">
        <v>21</v>
      </c>
    </row>
    <row r="712" spans="1:20" x14ac:dyDescent="0.25">
      <c r="A712" t="s">
        <v>15</v>
      </c>
      <c r="B712" t="s">
        <v>125</v>
      </c>
      <c r="C712" t="s">
        <v>126</v>
      </c>
      <c r="D712" t="s">
        <v>127</v>
      </c>
      <c r="E712" t="s">
        <v>1377</v>
      </c>
      <c r="F712" t="s">
        <v>88</v>
      </c>
      <c r="G712" s="2">
        <v>46129</v>
      </c>
      <c r="H712" s="2">
        <v>46230</v>
      </c>
      <c r="I712" s="3">
        <v>60803.973400000003</v>
      </c>
      <c r="J712" t="s">
        <v>90</v>
      </c>
      <c r="K712" s="1">
        <v>46142</v>
      </c>
      <c r="L712" s="3">
        <v>61827.506999999998</v>
      </c>
      <c r="M712" s="3">
        <v>60933.811104</v>
      </c>
      <c r="N712" s="3">
        <v>54947673.500972003</v>
      </c>
      <c r="O712" s="6" t="s">
        <v>1378</v>
      </c>
      <c r="P712" t="s">
        <v>1349</v>
      </c>
      <c r="Q712" s="3">
        <v>88</v>
      </c>
      <c r="R712" s="5">
        <v>0.24444399999999999</v>
      </c>
      <c r="S712" s="6" t="s">
        <v>145</v>
      </c>
      <c r="T712" t="s">
        <v>21</v>
      </c>
    </row>
    <row r="713" spans="1:20" x14ac:dyDescent="0.25">
      <c r="A713" t="s">
        <v>15</v>
      </c>
      <c r="B713" t="s">
        <v>125</v>
      </c>
      <c r="C713" t="s">
        <v>126</v>
      </c>
      <c r="D713" t="s">
        <v>127</v>
      </c>
      <c r="E713" t="s">
        <v>1377</v>
      </c>
      <c r="F713" t="s">
        <v>88</v>
      </c>
      <c r="G713" s="2">
        <v>46129</v>
      </c>
      <c r="H713" s="2">
        <v>46230</v>
      </c>
      <c r="I713" s="3">
        <v>82844.814499999993</v>
      </c>
      <c r="J713" t="s">
        <v>90</v>
      </c>
      <c r="K713" s="1">
        <v>46142</v>
      </c>
      <c r="L713" s="3">
        <v>84239.368900000001</v>
      </c>
      <c r="M713" s="3">
        <v>83021.717050000007</v>
      </c>
      <c r="N713" s="3">
        <v>74865663.566948995</v>
      </c>
      <c r="O713" s="6" t="s">
        <v>1378</v>
      </c>
      <c r="P713" t="s">
        <v>1349</v>
      </c>
      <c r="Q713" s="3">
        <v>88</v>
      </c>
      <c r="R713" s="5">
        <v>0.24444399999999999</v>
      </c>
      <c r="S713" s="6" t="s">
        <v>145</v>
      </c>
      <c r="T713" t="s">
        <v>21</v>
      </c>
    </row>
    <row r="714" spans="1:20" x14ac:dyDescent="0.25">
      <c r="A714" t="s">
        <v>15</v>
      </c>
      <c r="B714" t="s">
        <v>125</v>
      </c>
      <c r="C714" t="s">
        <v>126</v>
      </c>
      <c r="D714" t="s">
        <v>127</v>
      </c>
      <c r="E714" t="s">
        <v>130</v>
      </c>
      <c r="F714" t="s">
        <v>88</v>
      </c>
      <c r="G714" s="2">
        <v>46069</v>
      </c>
      <c r="H714" s="2">
        <v>46170</v>
      </c>
      <c r="I714" s="3">
        <v>22583.174500000001</v>
      </c>
      <c r="J714" t="s">
        <v>90</v>
      </c>
      <c r="K714" s="1">
        <v>46142</v>
      </c>
      <c r="L714" s="3">
        <v>22963.3246</v>
      </c>
      <c r="M714" s="3">
        <v>22856.660186000001</v>
      </c>
      <c r="N714" s="3">
        <v>20611221.889146999</v>
      </c>
      <c r="O714" s="6" t="s">
        <v>192</v>
      </c>
      <c r="P714" t="s">
        <v>196</v>
      </c>
      <c r="Q714" s="3">
        <v>28</v>
      </c>
      <c r="R714" s="5">
        <v>7.7776999999999999E-2</v>
      </c>
      <c r="S714" s="6" t="s">
        <v>143</v>
      </c>
      <c r="T714" t="s">
        <v>21</v>
      </c>
    </row>
    <row r="715" spans="1:20" x14ac:dyDescent="0.25">
      <c r="A715" t="s">
        <v>15</v>
      </c>
      <c r="B715" t="s">
        <v>125</v>
      </c>
      <c r="C715" t="s">
        <v>126</v>
      </c>
      <c r="D715" t="s">
        <v>127</v>
      </c>
      <c r="E715" t="s">
        <v>130</v>
      </c>
      <c r="F715" t="s">
        <v>88</v>
      </c>
      <c r="G715" s="2">
        <v>46069</v>
      </c>
      <c r="H715" s="2">
        <v>46170</v>
      </c>
      <c r="I715" s="3">
        <v>75397.69</v>
      </c>
      <c r="J715" t="s">
        <v>90</v>
      </c>
      <c r="K715" s="1">
        <v>46142</v>
      </c>
      <c r="L715" s="3">
        <v>76566.354200000002</v>
      </c>
      <c r="M715" s="3">
        <v>76210.704247000001</v>
      </c>
      <c r="N715" s="3">
        <v>68723764.661638007</v>
      </c>
      <c r="O715" s="6" t="s">
        <v>192</v>
      </c>
      <c r="P715" t="s">
        <v>196</v>
      </c>
      <c r="Q715" s="3">
        <v>28</v>
      </c>
      <c r="R715" s="5">
        <v>7.7776999999999999E-2</v>
      </c>
      <c r="S715" s="6" t="s">
        <v>143</v>
      </c>
      <c r="T715" t="s">
        <v>21</v>
      </c>
    </row>
    <row r="716" spans="1:20" x14ac:dyDescent="0.25">
      <c r="A716" t="s">
        <v>15</v>
      </c>
      <c r="B716" t="s">
        <v>125</v>
      </c>
      <c r="C716" t="s">
        <v>126</v>
      </c>
      <c r="D716" t="s">
        <v>127</v>
      </c>
      <c r="E716" t="s">
        <v>130</v>
      </c>
      <c r="F716" t="s">
        <v>88</v>
      </c>
      <c r="G716" s="2">
        <v>46069</v>
      </c>
      <c r="H716" s="2">
        <v>46170</v>
      </c>
      <c r="I716" s="3">
        <v>57252.29</v>
      </c>
      <c r="J716" t="s">
        <v>90</v>
      </c>
      <c r="K716" s="1">
        <v>46142</v>
      </c>
      <c r="L716" s="3">
        <v>58206.4948</v>
      </c>
      <c r="M716" s="3">
        <v>57936.126211000003</v>
      </c>
      <c r="N716" s="3">
        <v>52244481.172045</v>
      </c>
      <c r="O716" s="6" t="s">
        <v>192</v>
      </c>
      <c r="P716" t="s">
        <v>196</v>
      </c>
      <c r="Q716" s="3">
        <v>28</v>
      </c>
      <c r="R716" s="5">
        <v>7.7776999999999999E-2</v>
      </c>
      <c r="S716" s="6" t="s">
        <v>143</v>
      </c>
      <c r="T716" t="s">
        <v>21</v>
      </c>
    </row>
    <row r="717" spans="1:20" x14ac:dyDescent="0.25">
      <c r="A717" t="s">
        <v>54</v>
      </c>
      <c r="B717" t="s">
        <v>131</v>
      </c>
      <c r="C717" t="s">
        <v>131</v>
      </c>
      <c r="D717" t="s">
        <v>132</v>
      </c>
      <c r="E717" t="s">
        <v>36</v>
      </c>
      <c r="F717" t="s">
        <v>19</v>
      </c>
      <c r="G717" s="2">
        <v>46048</v>
      </c>
      <c r="H717" s="2">
        <v>46147</v>
      </c>
      <c r="I717" s="3">
        <v>2491010</v>
      </c>
      <c r="J717" t="s">
        <v>20</v>
      </c>
      <c r="K717" s="1">
        <v>46142</v>
      </c>
      <c r="L717" s="3">
        <v>2521774</v>
      </c>
      <c r="M717" s="3">
        <v>2519045.034546</v>
      </c>
      <c r="N717" s="3">
        <v>2519045.034546</v>
      </c>
      <c r="O717" s="6"/>
      <c r="P717" t="s">
        <v>196</v>
      </c>
      <c r="Q717" s="3">
        <v>5</v>
      </c>
      <c r="R717" s="5">
        <v>1.3887999999999999E-2</v>
      </c>
      <c r="S717" s="6" t="s">
        <v>143</v>
      </c>
      <c r="T717" t="s">
        <v>21</v>
      </c>
    </row>
    <row r="718" spans="1:20" x14ac:dyDescent="0.25">
      <c r="A718" t="s">
        <v>54</v>
      </c>
      <c r="B718" t="s">
        <v>131</v>
      </c>
      <c r="C718" t="s">
        <v>131</v>
      </c>
      <c r="D718" t="s">
        <v>132</v>
      </c>
      <c r="E718" t="s">
        <v>1293</v>
      </c>
      <c r="F718" t="s">
        <v>19</v>
      </c>
      <c r="G718" s="2">
        <v>46108</v>
      </c>
      <c r="H718" s="2">
        <v>46209</v>
      </c>
      <c r="I718" s="3">
        <v>121425934</v>
      </c>
      <c r="J718" t="s">
        <v>20</v>
      </c>
      <c r="K718" s="1">
        <v>46142</v>
      </c>
      <c r="L718" s="3">
        <v>124001378</v>
      </c>
      <c r="M718" s="3">
        <v>122280885.93489601</v>
      </c>
      <c r="N718" s="3">
        <v>122280885.93489601</v>
      </c>
      <c r="O718" s="6" t="s">
        <v>521</v>
      </c>
      <c r="P718" t="s">
        <v>196</v>
      </c>
      <c r="Q718" s="3">
        <v>67</v>
      </c>
      <c r="R718" s="5">
        <v>0.186111</v>
      </c>
      <c r="S718" s="6" t="s">
        <v>145</v>
      </c>
      <c r="T718" t="s">
        <v>21</v>
      </c>
    </row>
    <row r="719" spans="1:20" x14ac:dyDescent="0.25">
      <c r="A719" t="s">
        <v>54</v>
      </c>
      <c r="B719" t="s">
        <v>131</v>
      </c>
      <c r="C719" t="s">
        <v>131</v>
      </c>
      <c r="D719" t="s">
        <v>132</v>
      </c>
      <c r="E719" t="s">
        <v>1294</v>
      </c>
      <c r="F719" t="s">
        <v>19</v>
      </c>
      <c r="G719" s="2">
        <v>46111</v>
      </c>
      <c r="H719" s="2">
        <v>46210</v>
      </c>
      <c r="I719" s="3">
        <v>41918387</v>
      </c>
      <c r="J719" t="s">
        <v>20</v>
      </c>
      <c r="K719" s="1">
        <v>46142</v>
      </c>
      <c r="L719" s="3">
        <v>42789870</v>
      </c>
      <c r="M719" s="3">
        <v>42187433.450328998</v>
      </c>
      <c r="N719" s="3">
        <v>42187433.450328998</v>
      </c>
      <c r="O719" s="6" t="s">
        <v>325</v>
      </c>
      <c r="P719" t="s">
        <v>196</v>
      </c>
      <c r="Q719" s="3">
        <v>68</v>
      </c>
      <c r="R719" s="5">
        <v>0.188888</v>
      </c>
      <c r="S719" s="6" t="s">
        <v>145</v>
      </c>
      <c r="T719" t="s">
        <v>21</v>
      </c>
    </row>
    <row r="720" spans="1:20" x14ac:dyDescent="0.25">
      <c r="A720" t="s">
        <v>54</v>
      </c>
      <c r="B720" t="s">
        <v>131</v>
      </c>
      <c r="C720" t="s">
        <v>131</v>
      </c>
      <c r="D720" t="s">
        <v>132</v>
      </c>
      <c r="E720" t="s">
        <v>1294</v>
      </c>
      <c r="F720" t="s">
        <v>19</v>
      </c>
      <c r="G720" s="2">
        <v>46111</v>
      </c>
      <c r="H720" s="2">
        <v>46210</v>
      </c>
      <c r="I720" s="3">
        <v>16005776</v>
      </c>
      <c r="J720" t="s">
        <v>20</v>
      </c>
      <c r="K720" s="1">
        <v>46142</v>
      </c>
      <c r="L720" s="3">
        <v>16338536</v>
      </c>
      <c r="M720" s="3">
        <v>16108506.526797</v>
      </c>
      <c r="N720" s="3">
        <v>16108506.526797</v>
      </c>
      <c r="O720" s="6" t="s">
        <v>325</v>
      </c>
      <c r="P720" t="s">
        <v>196</v>
      </c>
      <c r="Q720" s="3">
        <v>68</v>
      </c>
      <c r="R720" s="5">
        <v>0.188888</v>
      </c>
      <c r="S720" s="6" t="s">
        <v>145</v>
      </c>
      <c r="T720" t="s">
        <v>21</v>
      </c>
    </row>
    <row r="721" spans="1:20" x14ac:dyDescent="0.25">
      <c r="A721" t="s">
        <v>54</v>
      </c>
      <c r="B721" t="s">
        <v>131</v>
      </c>
      <c r="C721" t="s">
        <v>131</v>
      </c>
      <c r="D721" t="s">
        <v>132</v>
      </c>
      <c r="E721" t="s">
        <v>1295</v>
      </c>
      <c r="F721" t="s">
        <v>19</v>
      </c>
      <c r="G721" s="2">
        <v>46085</v>
      </c>
      <c r="H721" s="2">
        <v>46181</v>
      </c>
      <c r="I721" s="3">
        <v>26825249</v>
      </c>
      <c r="J721" t="s">
        <v>20</v>
      </c>
      <c r="K721" s="1">
        <v>46142</v>
      </c>
      <c r="L721" s="3">
        <v>27253380</v>
      </c>
      <c r="M721" s="3">
        <v>27031988.018132001</v>
      </c>
      <c r="N721" s="3">
        <v>27031988.018132001</v>
      </c>
      <c r="O721" s="6" t="s">
        <v>278</v>
      </c>
      <c r="P721" t="s">
        <v>196</v>
      </c>
      <c r="Q721" s="3">
        <v>39</v>
      </c>
      <c r="R721" s="5">
        <v>0.108333</v>
      </c>
      <c r="S721" s="6" t="s">
        <v>145</v>
      </c>
      <c r="T721" t="s">
        <v>21</v>
      </c>
    </row>
    <row r="722" spans="1:20" x14ac:dyDescent="0.25">
      <c r="A722" t="s">
        <v>54</v>
      </c>
      <c r="B722" t="s">
        <v>131</v>
      </c>
      <c r="C722" t="s">
        <v>131</v>
      </c>
      <c r="D722" t="s">
        <v>132</v>
      </c>
      <c r="E722" t="s">
        <v>25</v>
      </c>
      <c r="F722" t="s">
        <v>19</v>
      </c>
      <c r="G722" s="2">
        <v>46051</v>
      </c>
      <c r="H722" s="2">
        <v>46156</v>
      </c>
      <c r="I722" s="3">
        <v>31702807</v>
      </c>
      <c r="J722" t="s">
        <v>20</v>
      </c>
      <c r="K722" s="1">
        <v>46142</v>
      </c>
      <c r="L722" s="3">
        <v>32156157</v>
      </c>
      <c r="M722" s="3">
        <v>32058911.634707998</v>
      </c>
      <c r="N722" s="3">
        <v>32058911.634707998</v>
      </c>
      <c r="O722" s="6" t="s">
        <v>452</v>
      </c>
      <c r="P722" t="s">
        <v>196</v>
      </c>
      <c r="Q722" s="3">
        <v>14</v>
      </c>
      <c r="R722" s="5">
        <v>3.8887999999999999E-2</v>
      </c>
      <c r="S722" s="6" t="s">
        <v>143</v>
      </c>
      <c r="T722" t="s">
        <v>21</v>
      </c>
    </row>
    <row r="723" spans="1:20" x14ac:dyDescent="0.25">
      <c r="A723" t="s">
        <v>54</v>
      </c>
      <c r="B723" t="s">
        <v>131</v>
      </c>
      <c r="C723" t="s">
        <v>131</v>
      </c>
      <c r="D723" t="s">
        <v>132</v>
      </c>
      <c r="E723" t="s">
        <v>1311</v>
      </c>
      <c r="F723" t="s">
        <v>19</v>
      </c>
      <c r="G723" s="2">
        <v>46094</v>
      </c>
      <c r="H723" s="2">
        <v>46192</v>
      </c>
      <c r="I723" s="3">
        <v>79351339</v>
      </c>
      <c r="J723" t="s">
        <v>20</v>
      </c>
      <c r="K723" s="1">
        <v>46142</v>
      </c>
      <c r="L723" s="3">
        <v>80984390</v>
      </c>
      <c r="M723" s="3">
        <v>80142889.658584997</v>
      </c>
      <c r="N723" s="3">
        <v>80142889.658584997</v>
      </c>
      <c r="O723" s="6"/>
      <c r="P723" t="s">
        <v>196</v>
      </c>
      <c r="Q723" s="3">
        <v>50</v>
      </c>
      <c r="R723" s="5">
        <v>0.13888800000000001</v>
      </c>
      <c r="S723" s="6" t="s">
        <v>145</v>
      </c>
      <c r="T723" t="s">
        <v>21</v>
      </c>
    </row>
    <row r="724" spans="1:20" x14ac:dyDescent="0.25">
      <c r="A724" t="s">
        <v>54</v>
      </c>
      <c r="B724" t="s">
        <v>131</v>
      </c>
      <c r="C724" t="s">
        <v>131</v>
      </c>
      <c r="D724" t="s">
        <v>132</v>
      </c>
      <c r="E724" t="s">
        <v>1332</v>
      </c>
      <c r="F724" t="s">
        <v>19</v>
      </c>
      <c r="G724" s="2">
        <v>46125</v>
      </c>
      <c r="H724" s="2">
        <v>46224</v>
      </c>
      <c r="I724" s="3">
        <v>37286056</v>
      </c>
      <c r="J724" t="s">
        <v>20</v>
      </c>
      <c r="K724" s="1">
        <v>46142</v>
      </c>
      <c r="L724" s="3">
        <v>38061233</v>
      </c>
      <c r="M724" s="3">
        <v>37416913.745306</v>
      </c>
      <c r="N724" s="3">
        <v>37416913.745306</v>
      </c>
      <c r="O724" s="6" t="s">
        <v>373</v>
      </c>
      <c r="P724" t="s">
        <v>196</v>
      </c>
      <c r="Q724" s="3">
        <v>82</v>
      </c>
      <c r="R724" s="5">
        <v>0.22777700000000001</v>
      </c>
      <c r="S724" s="6" t="s">
        <v>145</v>
      </c>
      <c r="T724" t="s">
        <v>21</v>
      </c>
    </row>
    <row r="725" spans="1:20" x14ac:dyDescent="0.25">
      <c r="A725" t="s">
        <v>54</v>
      </c>
      <c r="B725" t="s">
        <v>131</v>
      </c>
      <c r="C725" t="s">
        <v>131</v>
      </c>
      <c r="D725" t="s">
        <v>132</v>
      </c>
      <c r="E725" t="s">
        <v>1298</v>
      </c>
      <c r="F725" t="s">
        <v>19</v>
      </c>
      <c r="G725" s="2">
        <v>46098</v>
      </c>
      <c r="H725" s="2">
        <v>46196</v>
      </c>
      <c r="I725" s="3">
        <v>37334347</v>
      </c>
      <c r="J725" t="s">
        <v>20</v>
      </c>
      <c r="K725" s="1">
        <v>46142</v>
      </c>
      <c r="L725" s="3">
        <v>38102688</v>
      </c>
      <c r="M725" s="3">
        <v>37675448.414973997</v>
      </c>
      <c r="N725" s="3">
        <v>37675448.414973997</v>
      </c>
      <c r="O725" s="6" t="s">
        <v>248</v>
      </c>
      <c r="P725" t="s">
        <v>196</v>
      </c>
      <c r="Q725" s="3">
        <v>54</v>
      </c>
      <c r="R725" s="5">
        <v>0.15</v>
      </c>
      <c r="S725" s="6" t="s">
        <v>145</v>
      </c>
      <c r="T725" t="s">
        <v>21</v>
      </c>
    </row>
    <row r="726" spans="1:20" x14ac:dyDescent="0.25">
      <c r="A726" t="s">
        <v>54</v>
      </c>
      <c r="B726" t="s">
        <v>131</v>
      </c>
      <c r="C726" t="s">
        <v>131</v>
      </c>
      <c r="D726" t="s">
        <v>132</v>
      </c>
      <c r="E726" t="s">
        <v>39</v>
      </c>
      <c r="F726" t="s">
        <v>19</v>
      </c>
      <c r="G726" s="2">
        <v>46063</v>
      </c>
      <c r="H726" s="2">
        <v>46167</v>
      </c>
      <c r="I726" s="3">
        <v>60039265</v>
      </c>
      <c r="J726" t="s">
        <v>20</v>
      </c>
      <c r="K726" s="1">
        <v>46142</v>
      </c>
      <c r="L726" s="3">
        <v>61040920</v>
      </c>
      <c r="M726" s="3">
        <v>60712062.992126003</v>
      </c>
      <c r="N726" s="3">
        <v>60712062.992126003</v>
      </c>
      <c r="O726" s="6" t="s">
        <v>150</v>
      </c>
      <c r="P726" t="s">
        <v>196</v>
      </c>
      <c r="Q726" s="3">
        <v>25</v>
      </c>
      <c r="R726" s="5">
        <v>6.9444000000000006E-2</v>
      </c>
      <c r="S726" s="6" t="s">
        <v>143</v>
      </c>
      <c r="T726" t="s">
        <v>21</v>
      </c>
    </row>
    <row r="727" spans="1:20" x14ac:dyDescent="0.25">
      <c r="A727" t="s">
        <v>54</v>
      </c>
      <c r="B727" t="s">
        <v>131</v>
      </c>
      <c r="C727" t="s">
        <v>131</v>
      </c>
      <c r="D727" t="s">
        <v>132</v>
      </c>
      <c r="E727" t="s">
        <v>29</v>
      </c>
      <c r="F727" t="s">
        <v>19</v>
      </c>
      <c r="G727" s="2">
        <v>46080</v>
      </c>
      <c r="H727" s="2">
        <v>46171</v>
      </c>
      <c r="I727" s="3">
        <v>4701139</v>
      </c>
      <c r="J727" t="s">
        <v>20</v>
      </c>
      <c r="K727" s="1">
        <v>46142</v>
      </c>
      <c r="L727" s="3">
        <v>4783644</v>
      </c>
      <c r="M727" s="3">
        <v>4753774.4505359996</v>
      </c>
      <c r="N727" s="3">
        <v>4753774.4505359996</v>
      </c>
      <c r="O727" s="6" t="s">
        <v>140</v>
      </c>
      <c r="P727" t="s">
        <v>201</v>
      </c>
      <c r="Q727" s="3">
        <v>29</v>
      </c>
      <c r="R727" s="5">
        <v>8.0555000000000002E-2</v>
      </c>
      <c r="S727" s="6" t="s">
        <v>143</v>
      </c>
      <c r="T727" t="s">
        <v>21</v>
      </c>
    </row>
    <row r="728" spans="1:20" x14ac:dyDescent="0.25">
      <c r="A728" t="s">
        <v>54</v>
      </c>
      <c r="B728" t="s">
        <v>131</v>
      </c>
      <c r="C728" t="s">
        <v>131</v>
      </c>
      <c r="D728" t="s">
        <v>132</v>
      </c>
      <c r="E728" t="s">
        <v>1359</v>
      </c>
      <c r="F728" t="s">
        <v>19</v>
      </c>
      <c r="G728" s="2">
        <v>46135</v>
      </c>
      <c r="H728" s="2">
        <v>46234</v>
      </c>
      <c r="I728" s="3">
        <v>16937170</v>
      </c>
      <c r="J728" t="s">
        <v>20</v>
      </c>
      <c r="K728" s="1">
        <v>46142</v>
      </c>
      <c r="L728" s="3">
        <v>17271510</v>
      </c>
      <c r="M728" s="3">
        <v>16944149.040537</v>
      </c>
      <c r="N728" s="3">
        <v>16944149.040537</v>
      </c>
      <c r="O728" s="6" t="s">
        <v>521</v>
      </c>
      <c r="P728" t="s">
        <v>196</v>
      </c>
      <c r="Q728" s="3">
        <v>92</v>
      </c>
      <c r="R728" s="5">
        <v>0.25555499999999998</v>
      </c>
      <c r="S728" s="6" t="s">
        <v>141</v>
      </c>
      <c r="T728" t="s">
        <v>21</v>
      </c>
    </row>
    <row r="729" spans="1:20" x14ac:dyDescent="0.25">
      <c r="A729" t="s">
        <v>54</v>
      </c>
      <c r="B729" t="s">
        <v>131</v>
      </c>
      <c r="C729" t="s">
        <v>131</v>
      </c>
      <c r="D729" t="s">
        <v>132</v>
      </c>
      <c r="E729" t="s">
        <v>46</v>
      </c>
      <c r="F729" t="s">
        <v>19</v>
      </c>
      <c r="G729" s="2">
        <v>46050</v>
      </c>
      <c r="H729" s="2">
        <v>46154</v>
      </c>
      <c r="I729" s="3">
        <v>522905773</v>
      </c>
      <c r="J729" t="s">
        <v>20</v>
      </c>
      <c r="K729" s="1">
        <v>46142</v>
      </c>
      <c r="L729" s="3">
        <v>530156733</v>
      </c>
      <c r="M729" s="3">
        <v>528781900.05984402</v>
      </c>
      <c r="N729" s="3">
        <v>528781900.05984402</v>
      </c>
      <c r="O729" s="6" t="s">
        <v>159</v>
      </c>
      <c r="P729" t="s">
        <v>196</v>
      </c>
      <c r="Q729" s="3">
        <v>12</v>
      </c>
      <c r="R729" s="5">
        <v>3.3333000000000002E-2</v>
      </c>
      <c r="S729" s="6" t="s">
        <v>143</v>
      </c>
      <c r="T729" t="s">
        <v>21</v>
      </c>
    </row>
    <row r="730" spans="1:20" x14ac:dyDescent="0.25">
      <c r="A730" t="s">
        <v>54</v>
      </c>
      <c r="B730" t="s">
        <v>131</v>
      </c>
      <c r="C730" t="s">
        <v>131</v>
      </c>
      <c r="D730" t="s">
        <v>132</v>
      </c>
      <c r="E730" t="s">
        <v>46</v>
      </c>
      <c r="F730" t="s">
        <v>19</v>
      </c>
      <c r="G730" s="2">
        <v>46050</v>
      </c>
      <c r="H730" s="2">
        <v>46154</v>
      </c>
      <c r="I730" s="3">
        <v>3377707</v>
      </c>
      <c r="J730" t="s">
        <v>20</v>
      </c>
      <c r="K730" s="1">
        <v>46142</v>
      </c>
      <c r="L730" s="3">
        <v>3424545</v>
      </c>
      <c r="M730" s="3">
        <v>3415664.2728900001</v>
      </c>
      <c r="N730" s="3">
        <v>3415664.2728900001</v>
      </c>
      <c r="O730" s="6" t="s">
        <v>159</v>
      </c>
      <c r="P730" t="s">
        <v>196</v>
      </c>
      <c r="Q730" s="3">
        <v>12</v>
      </c>
      <c r="R730" s="5">
        <v>3.3333000000000002E-2</v>
      </c>
      <c r="S730" s="6" t="s">
        <v>143</v>
      </c>
      <c r="T730" t="s">
        <v>21</v>
      </c>
    </row>
    <row r="731" spans="1:20" x14ac:dyDescent="0.25">
      <c r="A731" t="s">
        <v>54</v>
      </c>
      <c r="B731" t="s">
        <v>131</v>
      </c>
      <c r="C731" t="s">
        <v>131</v>
      </c>
      <c r="D731" t="s">
        <v>132</v>
      </c>
      <c r="E731" t="s">
        <v>1306</v>
      </c>
      <c r="F731" t="s">
        <v>19</v>
      </c>
      <c r="G731" s="2">
        <v>46091</v>
      </c>
      <c r="H731" s="2">
        <v>46189</v>
      </c>
      <c r="I731" s="3">
        <v>10135899</v>
      </c>
      <c r="J731" t="s">
        <v>20</v>
      </c>
      <c r="K731" s="1">
        <v>46142</v>
      </c>
      <c r="L731" s="3">
        <v>10351118</v>
      </c>
      <c r="M731" s="3">
        <v>10246771.708106</v>
      </c>
      <c r="N731" s="3">
        <v>10246771.708106</v>
      </c>
      <c r="O731" s="6"/>
      <c r="P731" t="s">
        <v>196</v>
      </c>
      <c r="Q731" s="3">
        <v>47</v>
      </c>
      <c r="R731" s="5">
        <v>0.130555</v>
      </c>
      <c r="S731" s="6" t="s">
        <v>145</v>
      </c>
      <c r="T731" t="s">
        <v>21</v>
      </c>
    </row>
    <row r="732" spans="1:20" x14ac:dyDescent="0.25">
      <c r="A732" t="s">
        <v>54</v>
      </c>
      <c r="B732" t="s">
        <v>131</v>
      </c>
      <c r="C732" t="s">
        <v>131</v>
      </c>
      <c r="D732" t="s">
        <v>132</v>
      </c>
      <c r="E732" t="s">
        <v>1319</v>
      </c>
      <c r="F732" t="s">
        <v>19</v>
      </c>
      <c r="G732" s="2">
        <v>46100</v>
      </c>
      <c r="H732" s="2">
        <v>46198</v>
      </c>
      <c r="I732" s="3">
        <v>40025200</v>
      </c>
      <c r="J732" t="s">
        <v>20</v>
      </c>
      <c r="K732" s="1">
        <v>46142</v>
      </c>
      <c r="L732" s="3">
        <v>40848919</v>
      </c>
      <c r="M732" s="3">
        <v>40374119.356369004</v>
      </c>
      <c r="N732" s="3">
        <v>40374119.356369004</v>
      </c>
      <c r="O732" s="6"/>
      <c r="P732" t="s">
        <v>196</v>
      </c>
      <c r="Q732" s="3">
        <v>56</v>
      </c>
      <c r="R732" s="5">
        <v>0.155555</v>
      </c>
      <c r="S732" s="6" t="s">
        <v>145</v>
      </c>
      <c r="T732" t="s">
        <v>21</v>
      </c>
    </row>
    <row r="733" spans="1:20" x14ac:dyDescent="0.25">
      <c r="A733" t="s">
        <v>15</v>
      </c>
      <c r="B733" t="s">
        <v>133</v>
      </c>
      <c r="C733" t="s">
        <v>134</v>
      </c>
      <c r="D733" t="s">
        <v>135</v>
      </c>
      <c r="E733" t="s">
        <v>22</v>
      </c>
      <c r="F733" t="s">
        <v>19</v>
      </c>
      <c r="G733" s="2">
        <v>46043</v>
      </c>
      <c r="H733" s="2">
        <v>46146</v>
      </c>
      <c r="I733" s="3">
        <v>7606780</v>
      </c>
      <c r="J733" t="s">
        <v>20</v>
      </c>
      <c r="K733" s="1">
        <v>46142</v>
      </c>
      <c r="L733" s="3">
        <v>7629144</v>
      </c>
      <c r="M733" s="3">
        <v>7622740.8976459997</v>
      </c>
      <c r="N733" s="3">
        <v>7622740.8976459997</v>
      </c>
      <c r="O733" s="6"/>
      <c r="P733" t="s">
        <v>196</v>
      </c>
      <c r="Q733" s="3">
        <v>4</v>
      </c>
      <c r="R733" s="5">
        <v>1.1110999999999999E-2</v>
      </c>
      <c r="S733" s="6" t="s">
        <v>143</v>
      </c>
      <c r="T733" t="s">
        <v>21</v>
      </c>
    </row>
    <row r="734" spans="1:20" x14ac:dyDescent="0.25">
      <c r="A734" t="s">
        <v>15</v>
      </c>
      <c r="B734" t="s">
        <v>133</v>
      </c>
      <c r="C734" t="s">
        <v>134</v>
      </c>
      <c r="D734" t="s">
        <v>135</v>
      </c>
      <c r="E734" t="s">
        <v>36</v>
      </c>
      <c r="F734" t="s">
        <v>19</v>
      </c>
      <c r="G734" s="2">
        <v>46048</v>
      </c>
      <c r="H734" s="2">
        <v>46147</v>
      </c>
      <c r="I734" s="3">
        <v>3136302</v>
      </c>
      <c r="J734" t="s">
        <v>20</v>
      </c>
      <c r="K734" s="1">
        <v>46142</v>
      </c>
      <c r="L734" s="3">
        <v>3195306</v>
      </c>
      <c r="M734" s="3">
        <v>3191688.7527470002</v>
      </c>
      <c r="N734" s="3">
        <v>3191688.7527470002</v>
      </c>
      <c r="O734" s="6"/>
      <c r="P734" t="s">
        <v>196</v>
      </c>
      <c r="Q734" s="3">
        <v>5</v>
      </c>
      <c r="R734" s="5">
        <v>1.3887999999999999E-2</v>
      </c>
      <c r="S734" s="6" t="s">
        <v>143</v>
      </c>
      <c r="T734" t="s">
        <v>21</v>
      </c>
    </row>
    <row r="735" spans="1:20" x14ac:dyDescent="0.25">
      <c r="A735" t="s">
        <v>15</v>
      </c>
      <c r="B735" t="s">
        <v>133</v>
      </c>
      <c r="C735" t="s">
        <v>134</v>
      </c>
      <c r="D735" t="s">
        <v>135</v>
      </c>
      <c r="E735" t="s">
        <v>1292</v>
      </c>
      <c r="F735" t="s">
        <v>19</v>
      </c>
      <c r="G735" s="2">
        <v>46083</v>
      </c>
      <c r="H735" s="2">
        <v>46178</v>
      </c>
      <c r="I735" s="3">
        <v>48317336</v>
      </c>
      <c r="J735" t="s">
        <v>20</v>
      </c>
      <c r="K735" s="1">
        <v>46142</v>
      </c>
      <c r="L735" s="3">
        <v>49037747</v>
      </c>
      <c r="M735" s="3">
        <v>48669803.287148997</v>
      </c>
      <c r="N735" s="3">
        <v>48669803.287148997</v>
      </c>
      <c r="O735" s="6" t="s">
        <v>283</v>
      </c>
      <c r="P735" t="s">
        <v>196</v>
      </c>
      <c r="Q735" s="3">
        <v>36</v>
      </c>
      <c r="R735" s="5">
        <v>0.1</v>
      </c>
      <c r="S735" s="6" t="s">
        <v>145</v>
      </c>
      <c r="T735" t="s">
        <v>21</v>
      </c>
    </row>
    <row r="736" spans="1:20" x14ac:dyDescent="0.25">
      <c r="A736" t="s">
        <v>15</v>
      </c>
      <c r="B736" t="s">
        <v>133</v>
      </c>
      <c r="C736" t="s">
        <v>134</v>
      </c>
      <c r="D736" t="s">
        <v>135</v>
      </c>
      <c r="E736" t="s">
        <v>23</v>
      </c>
      <c r="F736" t="s">
        <v>19</v>
      </c>
      <c r="G736" s="2">
        <v>46049</v>
      </c>
      <c r="H736" s="2">
        <v>46149</v>
      </c>
      <c r="I736" s="3">
        <v>20141039</v>
      </c>
      <c r="J736" t="s">
        <v>20</v>
      </c>
      <c r="K736" s="1">
        <v>46142</v>
      </c>
      <c r="L736" s="3">
        <v>20314453</v>
      </c>
      <c r="M736" s="3">
        <v>20284634.587157</v>
      </c>
      <c r="N736" s="3">
        <v>20284634.587157</v>
      </c>
      <c r="O736" s="6" t="s">
        <v>521</v>
      </c>
      <c r="P736" t="s">
        <v>196</v>
      </c>
      <c r="Q736" s="3">
        <v>7</v>
      </c>
      <c r="R736" s="5">
        <v>1.9443999999999999E-2</v>
      </c>
      <c r="S736" s="6" t="s">
        <v>143</v>
      </c>
      <c r="T736" t="s">
        <v>21</v>
      </c>
    </row>
    <row r="737" spans="1:20" x14ac:dyDescent="0.25">
      <c r="A737" t="s">
        <v>15</v>
      </c>
      <c r="B737" t="s">
        <v>133</v>
      </c>
      <c r="C737" t="s">
        <v>134</v>
      </c>
      <c r="D737" t="s">
        <v>135</v>
      </c>
      <c r="E737" t="s">
        <v>61</v>
      </c>
      <c r="F737" t="s">
        <v>19</v>
      </c>
      <c r="G737" s="2">
        <v>46049</v>
      </c>
      <c r="H737" s="2">
        <v>46150</v>
      </c>
      <c r="I737" s="3">
        <v>11593827</v>
      </c>
      <c r="J737" t="s">
        <v>20</v>
      </c>
      <c r="K737" s="1">
        <v>46142</v>
      </c>
      <c r="L737" s="3">
        <v>11644956</v>
      </c>
      <c r="M737" s="3">
        <v>11625425.28552</v>
      </c>
      <c r="N737" s="3">
        <v>11625425.28552</v>
      </c>
      <c r="O737" s="6" t="s">
        <v>521</v>
      </c>
      <c r="P737" t="s">
        <v>196</v>
      </c>
      <c r="Q737" s="3">
        <v>8</v>
      </c>
      <c r="R737" s="5">
        <v>2.2221999999999999E-2</v>
      </c>
      <c r="S737" s="6" t="s">
        <v>143</v>
      </c>
      <c r="T737" t="s">
        <v>21</v>
      </c>
    </row>
    <row r="738" spans="1:20" x14ac:dyDescent="0.25">
      <c r="A738" t="s">
        <v>15</v>
      </c>
      <c r="B738" t="s">
        <v>133</v>
      </c>
      <c r="C738" t="s">
        <v>134</v>
      </c>
      <c r="D738" t="s">
        <v>135</v>
      </c>
      <c r="E738" t="s">
        <v>26</v>
      </c>
      <c r="F738" t="s">
        <v>19</v>
      </c>
      <c r="G738" s="2">
        <v>46052</v>
      </c>
      <c r="H738" s="2">
        <v>46157</v>
      </c>
      <c r="I738" s="3">
        <v>51158256</v>
      </c>
      <c r="J738" t="s">
        <v>20</v>
      </c>
      <c r="K738" s="1">
        <v>46142</v>
      </c>
      <c r="L738" s="3">
        <v>52155501</v>
      </c>
      <c r="M738" s="3">
        <v>51978773.171218</v>
      </c>
      <c r="N738" s="3">
        <v>51978773.171218</v>
      </c>
      <c r="O738" s="6" t="s">
        <v>521</v>
      </c>
      <c r="P738" t="s">
        <v>196</v>
      </c>
      <c r="Q738" s="3">
        <v>15</v>
      </c>
      <c r="R738" s="5">
        <v>4.1666000000000002E-2</v>
      </c>
      <c r="S738" s="6" t="s">
        <v>143</v>
      </c>
      <c r="T738" t="s">
        <v>21</v>
      </c>
    </row>
    <row r="739" spans="1:20" x14ac:dyDescent="0.25">
      <c r="A739" t="s">
        <v>15</v>
      </c>
      <c r="B739" t="s">
        <v>133</v>
      </c>
      <c r="C739" t="s">
        <v>134</v>
      </c>
      <c r="D739" t="s">
        <v>135</v>
      </c>
      <c r="E739" t="s">
        <v>27</v>
      </c>
      <c r="F739" t="s">
        <v>19</v>
      </c>
      <c r="G739" s="2">
        <v>46052</v>
      </c>
      <c r="H739" s="2">
        <v>46160</v>
      </c>
      <c r="I739" s="3">
        <v>4488285</v>
      </c>
      <c r="J739" t="s">
        <v>20</v>
      </c>
      <c r="K739" s="1">
        <v>46142</v>
      </c>
      <c r="L739" s="3">
        <v>4538240</v>
      </c>
      <c r="M739" s="3">
        <v>4521150.0527999997</v>
      </c>
      <c r="N739" s="3">
        <v>4521150.0527999997</v>
      </c>
      <c r="O739" s="6" t="s">
        <v>452</v>
      </c>
      <c r="P739" t="s">
        <v>196</v>
      </c>
      <c r="Q739" s="3">
        <v>18</v>
      </c>
      <c r="R739" s="5">
        <v>0.05</v>
      </c>
      <c r="S739" s="6" t="s">
        <v>143</v>
      </c>
      <c r="T739" t="s">
        <v>21</v>
      </c>
    </row>
    <row r="740" spans="1:20" x14ac:dyDescent="0.25">
      <c r="A740" t="s">
        <v>15</v>
      </c>
      <c r="B740" t="s">
        <v>133</v>
      </c>
      <c r="C740" t="s">
        <v>134</v>
      </c>
      <c r="D740" t="s">
        <v>135</v>
      </c>
      <c r="E740" t="s">
        <v>27</v>
      </c>
      <c r="F740" t="s">
        <v>19</v>
      </c>
      <c r="G740" s="2">
        <v>46052</v>
      </c>
      <c r="H740" s="2">
        <v>46160</v>
      </c>
      <c r="I740" s="3">
        <v>5561083</v>
      </c>
      <c r="J740" t="s">
        <v>20</v>
      </c>
      <c r="K740" s="1">
        <v>46142</v>
      </c>
      <c r="L740" s="3">
        <v>5666966</v>
      </c>
      <c r="M740" s="3">
        <v>5643938.7299819998</v>
      </c>
      <c r="N740" s="3">
        <v>5643938.7299819998</v>
      </c>
      <c r="O740" s="6" t="s">
        <v>452</v>
      </c>
      <c r="P740" t="s">
        <v>196</v>
      </c>
      <c r="Q740" s="3">
        <v>18</v>
      </c>
      <c r="R740" s="5">
        <v>0.05</v>
      </c>
      <c r="S740" s="6" t="s">
        <v>143</v>
      </c>
      <c r="T740" t="s">
        <v>21</v>
      </c>
    </row>
    <row r="741" spans="1:20" x14ac:dyDescent="0.25">
      <c r="A741" t="s">
        <v>15</v>
      </c>
      <c r="B741" t="s">
        <v>133</v>
      </c>
      <c r="C741" t="s">
        <v>134</v>
      </c>
      <c r="D741" t="s">
        <v>135</v>
      </c>
      <c r="E741" t="s">
        <v>27</v>
      </c>
      <c r="F741" t="s">
        <v>19</v>
      </c>
      <c r="G741" s="2">
        <v>46052</v>
      </c>
      <c r="H741" s="2">
        <v>46160</v>
      </c>
      <c r="I741" s="3">
        <v>5562975</v>
      </c>
      <c r="J741" t="s">
        <v>20</v>
      </c>
      <c r="K741" s="1">
        <v>46142</v>
      </c>
      <c r="L741" s="3">
        <v>5668894</v>
      </c>
      <c r="M741" s="3">
        <v>5645858.8957059998</v>
      </c>
      <c r="N741" s="3">
        <v>5645858.8957059998</v>
      </c>
      <c r="O741" s="6" t="s">
        <v>452</v>
      </c>
      <c r="P741" t="s">
        <v>196</v>
      </c>
      <c r="Q741" s="3">
        <v>18</v>
      </c>
      <c r="R741" s="5">
        <v>0.05</v>
      </c>
      <c r="S741" s="6" t="s">
        <v>143</v>
      </c>
      <c r="T741" t="s">
        <v>21</v>
      </c>
    </row>
    <row r="742" spans="1:20" x14ac:dyDescent="0.25">
      <c r="A742" t="s">
        <v>15</v>
      </c>
      <c r="B742" t="s">
        <v>133</v>
      </c>
      <c r="C742" t="s">
        <v>134</v>
      </c>
      <c r="D742" t="s">
        <v>135</v>
      </c>
      <c r="E742" t="s">
        <v>1345</v>
      </c>
      <c r="F742" t="s">
        <v>19</v>
      </c>
      <c r="G742" s="2">
        <v>46128</v>
      </c>
      <c r="H742" s="2">
        <v>46227</v>
      </c>
      <c r="I742" s="3">
        <v>13865726</v>
      </c>
      <c r="J742" t="s">
        <v>20</v>
      </c>
      <c r="K742" s="1">
        <v>46142</v>
      </c>
      <c r="L742" s="3">
        <v>14153994</v>
      </c>
      <c r="M742" s="3">
        <v>13905775.900181999</v>
      </c>
      <c r="N742" s="3">
        <v>13905775.900181999</v>
      </c>
      <c r="O742" s="6" t="s">
        <v>147</v>
      </c>
      <c r="P742" t="s">
        <v>196</v>
      </c>
      <c r="Q742" s="3">
        <v>85</v>
      </c>
      <c r="R742" s="5">
        <v>0.23611099999999999</v>
      </c>
      <c r="S742" s="6" t="s">
        <v>145</v>
      </c>
      <c r="T742" t="s">
        <v>21</v>
      </c>
    </row>
    <row r="743" spans="1:20" x14ac:dyDescent="0.25">
      <c r="A743" t="s">
        <v>15</v>
      </c>
      <c r="B743" t="s">
        <v>133</v>
      </c>
      <c r="C743" t="s">
        <v>134</v>
      </c>
      <c r="D743" t="s">
        <v>135</v>
      </c>
      <c r="E743" t="s">
        <v>1346</v>
      </c>
      <c r="F743" t="s">
        <v>19</v>
      </c>
      <c r="G743" s="2">
        <v>46129</v>
      </c>
      <c r="H743" s="2">
        <v>46230</v>
      </c>
      <c r="I743" s="3">
        <v>12045329</v>
      </c>
      <c r="J743" t="s">
        <v>20</v>
      </c>
      <c r="K743" s="1">
        <v>46142</v>
      </c>
      <c r="L743" s="3">
        <v>12300810</v>
      </c>
      <c r="M743" s="3">
        <v>12077615.662556</v>
      </c>
      <c r="N743" s="3">
        <v>12077615.662556</v>
      </c>
      <c r="O743" s="6" t="s">
        <v>153</v>
      </c>
      <c r="P743" t="s">
        <v>196</v>
      </c>
      <c r="Q743" s="3">
        <v>88</v>
      </c>
      <c r="R743" s="5">
        <v>0.24444399999999999</v>
      </c>
      <c r="S743" s="6" t="s">
        <v>145</v>
      </c>
      <c r="T743" t="s">
        <v>21</v>
      </c>
    </row>
    <row r="744" spans="1:20" x14ac:dyDescent="0.25">
      <c r="A744" t="s">
        <v>15</v>
      </c>
      <c r="B744" t="s">
        <v>133</v>
      </c>
      <c r="C744" t="s">
        <v>134</v>
      </c>
      <c r="D744" t="s">
        <v>135</v>
      </c>
      <c r="E744" t="s">
        <v>1347</v>
      </c>
      <c r="F744" t="s">
        <v>19</v>
      </c>
      <c r="G744" s="2">
        <v>46133</v>
      </c>
      <c r="H744" s="2">
        <v>46232</v>
      </c>
      <c r="I744" s="3">
        <v>23340594</v>
      </c>
      <c r="J744" t="s">
        <v>20</v>
      </c>
      <c r="K744" s="1">
        <v>46142</v>
      </c>
      <c r="L744" s="3">
        <v>23825845</v>
      </c>
      <c r="M744" s="3">
        <v>23383889.488664001</v>
      </c>
      <c r="N744" s="3">
        <v>23383889.488664001</v>
      </c>
      <c r="O744" s="6" t="s">
        <v>153</v>
      </c>
      <c r="P744" t="s">
        <v>196</v>
      </c>
      <c r="Q744" s="3">
        <v>90</v>
      </c>
      <c r="R744" s="5">
        <v>0.25</v>
      </c>
      <c r="S744" s="6" t="s">
        <v>145</v>
      </c>
      <c r="T744" t="s">
        <v>21</v>
      </c>
    </row>
    <row r="745" spans="1:20" x14ac:dyDescent="0.25">
      <c r="A745" t="s">
        <v>15</v>
      </c>
      <c r="B745" t="s">
        <v>133</v>
      </c>
      <c r="C745" t="s">
        <v>134</v>
      </c>
      <c r="D745" t="s">
        <v>135</v>
      </c>
      <c r="E745" t="s">
        <v>1356</v>
      </c>
      <c r="F745" t="s">
        <v>19</v>
      </c>
      <c r="G745" s="2">
        <v>46127</v>
      </c>
      <c r="H745" s="2">
        <v>46226</v>
      </c>
      <c r="I745" s="3">
        <v>2017333</v>
      </c>
      <c r="J745" t="s">
        <v>20</v>
      </c>
      <c r="K745" s="1">
        <v>46142</v>
      </c>
      <c r="L745" s="3">
        <v>2059273</v>
      </c>
      <c r="M745" s="3">
        <v>2023577.099957</v>
      </c>
      <c r="N745" s="3">
        <v>2023577.099957</v>
      </c>
      <c r="O745" s="6"/>
      <c r="P745" t="s">
        <v>196</v>
      </c>
      <c r="Q745" s="3">
        <v>84</v>
      </c>
      <c r="R745" s="5">
        <v>0.23333300000000001</v>
      </c>
      <c r="S745" s="6" t="s">
        <v>145</v>
      </c>
      <c r="T745" t="s">
        <v>21</v>
      </c>
    </row>
    <row r="746" spans="1:20" x14ac:dyDescent="0.25">
      <c r="A746" t="s">
        <v>15</v>
      </c>
      <c r="B746" t="s">
        <v>133</v>
      </c>
      <c r="C746" t="s">
        <v>134</v>
      </c>
      <c r="D746" t="s">
        <v>135</v>
      </c>
      <c r="E746" t="s">
        <v>1319</v>
      </c>
      <c r="F746" t="s">
        <v>19</v>
      </c>
      <c r="G746" s="2">
        <v>46100</v>
      </c>
      <c r="H746" s="2">
        <v>46198</v>
      </c>
      <c r="I746" s="3">
        <v>7004410</v>
      </c>
      <c r="J746" t="s">
        <v>20</v>
      </c>
      <c r="K746" s="1">
        <v>46142</v>
      </c>
      <c r="L746" s="3">
        <v>7148561</v>
      </c>
      <c r="M746" s="3">
        <v>7065471.060331</v>
      </c>
      <c r="N746" s="3">
        <v>7065471.060331</v>
      </c>
      <c r="O746" s="6"/>
      <c r="P746" t="s">
        <v>196</v>
      </c>
      <c r="Q746" s="3">
        <v>56</v>
      </c>
      <c r="R746" s="5">
        <v>0.155555</v>
      </c>
      <c r="S746" s="6" t="s">
        <v>145</v>
      </c>
      <c r="T746" t="s">
        <v>21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2133-C9AA-4CF5-9FC5-D63D3AD1486E}">
  <dimension ref="B1:AD25"/>
  <sheetViews>
    <sheetView topLeftCell="A3" workbookViewId="0">
      <selection activeCell="I14" sqref="I14"/>
    </sheetView>
  </sheetViews>
  <sheetFormatPr baseColWidth="10" defaultRowHeight="15" x14ac:dyDescent="0.25"/>
  <cols>
    <col min="4" max="4" width="12" bestFit="1" customWidth="1"/>
  </cols>
  <sheetData>
    <row r="1" spans="2:30" x14ac:dyDescent="0.25">
      <c r="B1" t="str" cm="1">
        <f t="array" ref="B1:B8">_xlfn.UNIQUE('Consulta1'!P:P)</f>
        <v>CLASIFICACION_OBS</v>
      </c>
      <c r="C1" t="s">
        <v>18</v>
      </c>
      <c r="D1" t="s">
        <v>35</v>
      </c>
      <c r="E1" t="s">
        <v>56</v>
      </c>
      <c r="F1" t="s">
        <v>60</v>
      </c>
      <c r="G1" t="s">
        <v>65</v>
      </c>
      <c r="H1" t="s">
        <v>69</v>
      </c>
      <c r="I1" t="s">
        <v>75</v>
      </c>
      <c r="J1" t="s">
        <v>79</v>
      </c>
      <c r="K1" t="s">
        <v>82</v>
      </c>
      <c r="L1" t="s">
        <v>86</v>
      </c>
      <c r="M1" t="s">
        <v>96</v>
      </c>
      <c r="N1" t="s">
        <v>99</v>
      </c>
      <c r="O1" t="s">
        <v>102</v>
      </c>
      <c r="P1" t="s">
        <v>104</v>
      </c>
      <c r="Q1" t="s">
        <v>108</v>
      </c>
      <c r="R1" t="s">
        <v>111</v>
      </c>
      <c r="S1" t="s">
        <v>114</v>
      </c>
      <c r="T1" t="s">
        <v>117</v>
      </c>
      <c r="U1" t="s">
        <v>122</v>
      </c>
      <c r="V1" t="s">
        <v>1324</v>
      </c>
      <c r="W1" t="s">
        <v>124</v>
      </c>
      <c r="X1" t="s">
        <v>127</v>
      </c>
      <c r="Y1" t="s">
        <v>132</v>
      </c>
      <c r="Z1" t="s">
        <v>135</v>
      </c>
      <c r="AA1" t="s">
        <v>1381</v>
      </c>
    </row>
    <row r="2" spans="2:30" x14ac:dyDescent="0.25">
      <c r="B2" t="str">
        <v>FMX</v>
      </c>
      <c r="C2">
        <f>SUMIFS('Consulta1'!$M:$M,'Consulta1'!$D:$D,C$1,'Consulta1'!$P:$P,$B2)</f>
        <v>234765562.714095</v>
      </c>
      <c r="D2">
        <f>SUMIFS('Consulta1'!$M:$M,'Consulta1'!$D:$D,D$1,'Consulta1'!$P:$P,$B2)</f>
        <v>18440528392.86834</v>
      </c>
      <c r="E2">
        <f>SUMIFS('Consulta1'!$M:$M,'Consulta1'!$D:$D,E$1,'Consulta1'!$P:$P,$B2)</f>
        <v>259017021.67589599</v>
      </c>
      <c r="F2">
        <f>SUMIFS('Consulta1'!$M:$M,'Consulta1'!$D:$D,F$1,'Consulta1'!$P:$P,$B2)</f>
        <v>3586983363.0548005</v>
      </c>
      <c r="G2">
        <f>SUMIFS('Consulta1'!$M:$M,'Consulta1'!$D:$D,G$1,'Consulta1'!$P:$P,$B2)</f>
        <v>644692391.07314193</v>
      </c>
      <c r="H2">
        <f>SUMIFS('Consulta1'!$M:$M,'Consulta1'!$D:$D,H$1,'Consulta1'!$P:$P,$B2)</f>
        <v>461190735.93395001</v>
      </c>
      <c r="I2">
        <f>SUMIFS('Consulta1'!$M:$M,'Consulta1'!$D:$D,I$1,'Consulta1'!$P:$P,$B2)</f>
        <v>515655854.66075307</v>
      </c>
      <c r="J2">
        <f>SUMIFS('Consulta1'!$M:$M,'Consulta1'!$D:$D,J$1,'Consulta1'!$P:$P,$B2)</f>
        <v>513855561.81042105</v>
      </c>
      <c r="K2">
        <f>SUMIFS('Consulta1'!$M:$M,'Consulta1'!$D:$D,K$1,'Consulta1'!$P:$P,$B2)</f>
        <v>1066575720.0467658</v>
      </c>
      <c r="L2">
        <f>SUMIFS('Consulta1'!$M:$M,'Consulta1'!$D:$D,L$1,'Consulta1'!$P:$P,$B2)</f>
        <v>2645505.7638750002</v>
      </c>
      <c r="M2">
        <f>SUMIFS('Consulta1'!$M:$M,'Consulta1'!$D:$D,M$1,'Consulta1'!$P:$P,$B2)</f>
        <v>2676732.3368509999</v>
      </c>
      <c r="N2">
        <f>SUMIFS('Consulta1'!$M:$M,'Consulta1'!$D:$D,N$1,'Consulta1'!$P:$P,$B2)</f>
        <v>1064693387.718603</v>
      </c>
      <c r="O2">
        <f>SUMIFS('Consulta1'!$M:$M,'Consulta1'!$D:$D,O$1,'Consulta1'!$P:$P,$B2)</f>
        <v>542004146.66602397</v>
      </c>
      <c r="P2">
        <f>SUMIFS('Consulta1'!$M:$M,'Consulta1'!$D:$D,P$1,'Consulta1'!$P:$P,$B2)</f>
        <v>1857315198.7414482</v>
      </c>
      <c r="Q2">
        <f>SUMIFS('Consulta1'!$M:$M,'Consulta1'!$D:$D,Q$1,'Consulta1'!$P:$P,$B2)</f>
        <v>501199639.86236006</v>
      </c>
      <c r="R2">
        <f>SUMIFS('Consulta1'!$M:$M,'Consulta1'!$D:$D,R$1,'Consulta1'!$P:$P,$B2)</f>
        <v>1899374574.8926797</v>
      </c>
      <c r="S2">
        <f>SUMIFS('Consulta1'!$M:$M,'Consulta1'!$D:$D,S$1,'Consulta1'!$P:$P,$B2)</f>
        <v>99281745.063854009</v>
      </c>
      <c r="T2">
        <f>SUMIFS('Consulta1'!$M:$M,'Consulta1'!$D:$D,T$1,'Consulta1'!$P:$P,$B2)</f>
        <v>922970882.12756085</v>
      </c>
      <c r="U2">
        <f>SUMIFS('Consulta1'!$M:$M,'Consulta1'!$D:$D,U$1,'Consulta1'!$P:$P,$B2)</f>
        <v>1043717706.9498118</v>
      </c>
      <c r="V2">
        <f>SUMIFS('Consulta1'!$M:$M,'Consulta1'!$D:$D,V$1,'Consulta1'!$P:$P,$B2)</f>
        <v>196014415.68648601</v>
      </c>
      <c r="W2">
        <f>SUMIFS('Consulta1'!$M:$M,'Consulta1'!$D:$D,W$1,'Consulta1'!$P:$P,$B2)</f>
        <v>1712705473.2971764</v>
      </c>
      <c r="X2">
        <f>SUMIFS('Consulta1'!$M:$M,'Consulta1'!$D:$D,X$1,'Consulta1'!$P:$P,$B2)</f>
        <v>1717736.1445289999</v>
      </c>
      <c r="Y2">
        <f>SUMIFS('Consulta1'!$M:$M,'Consulta1'!$D:$D,Y$1,'Consulta1'!$P:$P,$B2)</f>
        <v>1057896689.848145</v>
      </c>
      <c r="Z2">
        <f>SUMIFS('Consulta1'!$M:$M,'Consulta1'!$D:$D,Z$1,'Consulta1'!$P:$P,$B2)</f>
        <v>217640342.87161496</v>
      </c>
      <c r="AD2">
        <v>234765562.714095</v>
      </c>
    </row>
    <row r="3" spans="2:30" x14ac:dyDescent="0.25">
      <c r="B3" t="str">
        <v>Inmob</v>
      </c>
      <c r="C3">
        <f>SUMIFS('Consulta1'!$M:$M,'Consulta1'!$D:$D,C$1,'Consulta1'!$P:$P,$B3)</f>
        <v>0</v>
      </c>
      <c r="D3">
        <f>SUMIFS('Consulta1'!$M:$M,'Consulta1'!$D:$D,D$1,'Consulta1'!$P:$P,$B3)</f>
        <v>3390212017.2357626</v>
      </c>
      <c r="E3">
        <f>SUMIFS('Consulta1'!$M:$M,'Consulta1'!$D:$D,E$1,'Consulta1'!$P:$P,$B3)</f>
        <v>838184439.99016607</v>
      </c>
      <c r="F3">
        <f>SUMIFS('Consulta1'!$M:$M,'Consulta1'!$D:$D,F$1,'Consulta1'!$P:$P,$B3)</f>
        <v>863544356.44605005</v>
      </c>
      <c r="G3">
        <f>SUMIFS('Consulta1'!$M:$M,'Consulta1'!$D:$D,G$1,'Consulta1'!$P:$P,$B3)</f>
        <v>364253553.64524996</v>
      </c>
      <c r="H3">
        <f>SUMIFS('Consulta1'!$M:$M,'Consulta1'!$D:$D,H$1,'Consulta1'!$P:$P,$B3)</f>
        <v>0</v>
      </c>
      <c r="I3">
        <f>SUMIFS('Consulta1'!$M:$M,'Consulta1'!$D:$D,I$1,'Consulta1'!$P:$P,$B3)</f>
        <v>211212462.63521898</v>
      </c>
      <c r="J3">
        <f>SUMIFS('Consulta1'!$M:$M,'Consulta1'!$D:$D,J$1,'Consulta1'!$P:$P,$B3)</f>
        <v>14729215.560279001</v>
      </c>
      <c r="K3">
        <f>SUMIFS('Consulta1'!$M:$M,'Consulta1'!$D:$D,K$1,'Consulta1'!$P:$P,$B3)</f>
        <v>41311367.833450004</v>
      </c>
      <c r="L3">
        <f>SUMIFS('Consulta1'!$M:$M,'Consulta1'!$D:$D,L$1,'Consulta1'!$P:$P,$B3)</f>
        <v>0</v>
      </c>
      <c r="M3">
        <f>SUMIFS('Consulta1'!$M:$M,'Consulta1'!$D:$D,M$1,'Consulta1'!$P:$P,$B3)</f>
        <v>0</v>
      </c>
      <c r="N3">
        <f>SUMIFS('Consulta1'!$M:$M,'Consulta1'!$D:$D,N$1,'Consulta1'!$P:$P,$B3)</f>
        <v>0</v>
      </c>
      <c r="O3">
        <f>SUMIFS('Consulta1'!$M:$M,'Consulta1'!$D:$D,O$1,'Consulta1'!$P:$P,$B3)</f>
        <v>80370633.653760001</v>
      </c>
      <c r="P3">
        <f>SUMIFS('Consulta1'!$M:$M,'Consulta1'!$D:$D,P$1,'Consulta1'!$P:$P,$B3)</f>
        <v>1128816691.8059142</v>
      </c>
      <c r="Q3">
        <f>SUMIFS('Consulta1'!$M:$M,'Consulta1'!$D:$D,Q$1,'Consulta1'!$P:$P,$B3)</f>
        <v>422780451.10024297</v>
      </c>
      <c r="R3">
        <f>SUMIFS('Consulta1'!$M:$M,'Consulta1'!$D:$D,R$1,'Consulta1'!$P:$P,$B3)</f>
        <v>244216753.73897201</v>
      </c>
      <c r="S3">
        <f>SUMIFS('Consulta1'!$M:$M,'Consulta1'!$D:$D,S$1,'Consulta1'!$P:$P,$B3)</f>
        <v>372355490.933577</v>
      </c>
      <c r="T3">
        <f>SUMIFS('Consulta1'!$M:$M,'Consulta1'!$D:$D,T$1,'Consulta1'!$P:$P,$B3)</f>
        <v>86827877.040926993</v>
      </c>
      <c r="U3">
        <f>SUMIFS('Consulta1'!$M:$M,'Consulta1'!$D:$D,U$1,'Consulta1'!$P:$P,$B3)</f>
        <v>543719148.36169803</v>
      </c>
      <c r="V3">
        <f>SUMIFS('Consulta1'!$M:$M,'Consulta1'!$D:$D,V$1,'Consulta1'!$P:$P,$B3)</f>
        <v>126840015.95166799</v>
      </c>
      <c r="W3">
        <f>SUMIFS('Consulta1'!$M:$M,'Consulta1'!$D:$D,W$1,'Consulta1'!$P:$P,$B3)</f>
        <v>572932473.53714502</v>
      </c>
      <c r="X3">
        <f>SUMIFS('Consulta1'!$M:$M,'Consulta1'!$D:$D,X$1,'Consulta1'!$P:$P,$B3)</f>
        <v>0</v>
      </c>
      <c r="Y3">
        <f>SUMIFS('Consulta1'!$M:$M,'Consulta1'!$D:$D,Y$1,'Consulta1'!$P:$P,$B3)</f>
        <v>4753774.4505359996</v>
      </c>
      <c r="Z3">
        <f>SUMIFS('Consulta1'!$M:$M,'Consulta1'!$D:$D,Z$1,'Consulta1'!$P:$P,$B3)</f>
        <v>0</v>
      </c>
      <c r="AD3">
        <v>24663150258.556858</v>
      </c>
    </row>
    <row r="4" spans="2:30" x14ac:dyDescent="0.25">
      <c r="B4" t="str">
        <v>Revisar</v>
      </c>
      <c r="C4">
        <f>SUMIFS('Consulta1'!$M:$M,'Consulta1'!$D:$D,C$1,'Consulta1'!$P:$P,$B4)</f>
        <v>0</v>
      </c>
      <c r="D4">
        <f>SUMIFS('Consulta1'!$M:$M,'Consulta1'!$D:$D,D$1,'Consulta1'!$P:$P,$B4)</f>
        <v>1898985662.656795</v>
      </c>
      <c r="E4">
        <f>SUMIFS('Consulta1'!$M:$M,'Consulta1'!$D:$D,E$1,'Consulta1'!$P:$P,$B4)</f>
        <v>363421176.41199303</v>
      </c>
      <c r="F4">
        <f>SUMIFS('Consulta1'!$M:$M,'Consulta1'!$D:$D,F$1,'Consulta1'!$P:$P,$B4)</f>
        <v>68691007.402323991</v>
      </c>
      <c r="G4">
        <f>SUMIFS('Consulta1'!$M:$M,'Consulta1'!$D:$D,G$1,'Consulta1'!$P:$P,$B4)</f>
        <v>9778223.8467050008</v>
      </c>
      <c r="H4">
        <f>SUMIFS('Consulta1'!$M:$M,'Consulta1'!$D:$D,H$1,'Consulta1'!$P:$P,$B4)</f>
        <v>0</v>
      </c>
      <c r="I4">
        <f>SUMIFS('Consulta1'!$M:$M,'Consulta1'!$D:$D,I$1,'Consulta1'!$P:$P,$B4)</f>
        <v>0</v>
      </c>
      <c r="J4">
        <f>SUMIFS('Consulta1'!$M:$M,'Consulta1'!$D:$D,J$1,'Consulta1'!$P:$P,$B4)</f>
        <v>0</v>
      </c>
      <c r="K4">
        <f>SUMIFS('Consulta1'!$M:$M,'Consulta1'!$D:$D,K$1,'Consulta1'!$P:$P,$B4)</f>
        <v>0</v>
      </c>
      <c r="L4">
        <f>SUMIFS('Consulta1'!$M:$M,'Consulta1'!$D:$D,L$1,'Consulta1'!$P:$P,$B4)</f>
        <v>0</v>
      </c>
      <c r="M4">
        <f>SUMIFS('Consulta1'!$M:$M,'Consulta1'!$D:$D,M$1,'Consulta1'!$P:$P,$B4)</f>
        <v>0</v>
      </c>
      <c r="N4">
        <f>SUMIFS('Consulta1'!$M:$M,'Consulta1'!$D:$D,N$1,'Consulta1'!$P:$P,$B4)</f>
        <v>0</v>
      </c>
      <c r="O4">
        <f>SUMIFS('Consulta1'!$M:$M,'Consulta1'!$D:$D,O$1,'Consulta1'!$P:$P,$B4)</f>
        <v>0</v>
      </c>
      <c r="P4">
        <f>SUMIFS('Consulta1'!$M:$M,'Consulta1'!$D:$D,P$1,'Consulta1'!$P:$P,$B4)</f>
        <v>90181244.109889001</v>
      </c>
      <c r="Q4">
        <f>SUMIFS('Consulta1'!$M:$M,'Consulta1'!$D:$D,Q$1,'Consulta1'!$P:$P,$B4)</f>
        <v>0</v>
      </c>
      <c r="R4">
        <f>SUMIFS('Consulta1'!$M:$M,'Consulta1'!$D:$D,R$1,'Consulta1'!$P:$P,$B4)</f>
        <v>13286180.139637999</v>
      </c>
      <c r="S4">
        <f>SUMIFS('Consulta1'!$M:$M,'Consulta1'!$D:$D,S$1,'Consulta1'!$P:$P,$B4)</f>
        <v>0</v>
      </c>
      <c r="T4">
        <f>SUMIFS('Consulta1'!$M:$M,'Consulta1'!$D:$D,T$1,'Consulta1'!$P:$P,$B4)</f>
        <v>26395367.510809001</v>
      </c>
      <c r="U4">
        <f>SUMIFS('Consulta1'!$M:$M,'Consulta1'!$D:$D,U$1,'Consulta1'!$P:$P,$B4)</f>
        <v>0</v>
      </c>
      <c r="V4">
        <f>SUMIFS('Consulta1'!$M:$M,'Consulta1'!$D:$D,V$1,'Consulta1'!$P:$P,$B4)</f>
        <v>0</v>
      </c>
      <c r="W4">
        <f>SUMIFS('Consulta1'!$M:$M,'Consulta1'!$D:$D,W$1,'Consulta1'!$P:$P,$B4)</f>
        <v>301411708.40201002</v>
      </c>
      <c r="X4">
        <f>SUMIFS('Consulta1'!$M:$M,'Consulta1'!$D:$D,X$1,'Consulta1'!$P:$P,$B4)</f>
        <v>400702.96005300002</v>
      </c>
      <c r="Y4">
        <f>SUMIFS('Consulta1'!$M:$M,'Consulta1'!$D:$D,Y$1,'Consulta1'!$P:$P,$B4)</f>
        <v>0</v>
      </c>
      <c r="Z4">
        <f>SUMIFS('Consulta1'!$M:$M,'Consulta1'!$D:$D,Z$1,'Consulta1'!$P:$P,$B4)</f>
        <v>0</v>
      </c>
      <c r="AD4">
        <v>1460622638.0780549</v>
      </c>
    </row>
    <row r="5" spans="2:30" x14ac:dyDescent="0.25">
      <c r="B5" t="str">
        <v>Nota estructurada</v>
      </c>
      <c r="C5">
        <f>SUMIFS('Consulta1'!$M:$M,'Consulta1'!$D:$D,C$1,'Consulta1'!$P:$P,$B5)</f>
        <v>0</v>
      </c>
      <c r="D5">
        <f>SUMIFS('Consulta1'!$M:$M,'Consulta1'!$D:$D,D$1,'Consulta1'!$P:$P,$B5)</f>
        <v>933424185.79595399</v>
      </c>
      <c r="E5">
        <f>SUMIFS('Consulta1'!$M:$M,'Consulta1'!$D:$D,E$1,'Consulta1'!$P:$P,$B5)</f>
        <v>0</v>
      </c>
      <c r="F5">
        <f>SUMIFS('Consulta1'!$M:$M,'Consulta1'!$D:$D,F$1,'Consulta1'!$P:$P,$B5)</f>
        <v>0</v>
      </c>
      <c r="G5">
        <f>SUMIFS('Consulta1'!$M:$M,'Consulta1'!$D:$D,G$1,'Consulta1'!$P:$P,$B5)</f>
        <v>6200786.6970650004</v>
      </c>
      <c r="H5">
        <f>SUMIFS('Consulta1'!$M:$M,'Consulta1'!$D:$D,H$1,'Consulta1'!$P:$P,$B5)</f>
        <v>1694282935.2987289</v>
      </c>
      <c r="I5">
        <f>SUMIFS('Consulta1'!$M:$M,'Consulta1'!$D:$D,I$1,'Consulta1'!$P:$P,$B5)</f>
        <v>0</v>
      </c>
      <c r="J5">
        <f>SUMIFS('Consulta1'!$M:$M,'Consulta1'!$D:$D,J$1,'Consulta1'!$P:$P,$B5)</f>
        <v>0</v>
      </c>
      <c r="K5">
        <f>SUMIFS('Consulta1'!$M:$M,'Consulta1'!$D:$D,K$1,'Consulta1'!$P:$P,$B5)</f>
        <v>0</v>
      </c>
      <c r="L5">
        <f>SUMIFS('Consulta1'!$M:$M,'Consulta1'!$D:$D,L$1,'Consulta1'!$P:$P,$B5)</f>
        <v>0</v>
      </c>
      <c r="M5">
        <f>SUMIFS('Consulta1'!$M:$M,'Consulta1'!$D:$D,M$1,'Consulta1'!$P:$P,$B5)</f>
        <v>0</v>
      </c>
      <c r="N5">
        <f>SUMIFS('Consulta1'!$M:$M,'Consulta1'!$D:$D,N$1,'Consulta1'!$P:$P,$B5)</f>
        <v>0</v>
      </c>
      <c r="O5">
        <f>SUMIFS('Consulta1'!$M:$M,'Consulta1'!$D:$D,O$1,'Consulta1'!$P:$P,$B5)</f>
        <v>55971529.121708997</v>
      </c>
      <c r="P5">
        <f>SUMIFS('Consulta1'!$M:$M,'Consulta1'!$D:$D,P$1,'Consulta1'!$P:$P,$B5)</f>
        <v>298412883.65524203</v>
      </c>
      <c r="Q5">
        <f>SUMIFS('Consulta1'!$M:$M,'Consulta1'!$D:$D,Q$1,'Consulta1'!$P:$P,$B5)</f>
        <v>0</v>
      </c>
      <c r="R5">
        <f>SUMIFS('Consulta1'!$M:$M,'Consulta1'!$D:$D,R$1,'Consulta1'!$P:$P,$B5)</f>
        <v>318498139.97540796</v>
      </c>
      <c r="S5">
        <f>SUMIFS('Consulta1'!$M:$M,'Consulta1'!$D:$D,S$1,'Consulta1'!$P:$P,$B5)</f>
        <v>5123248.5915069999</v>
      </c>
      <c r="T5">
        <f>SUMIFS('Consulta1'!$M:$M,'Consulta1'!$D:$D,T$1,'Consulta1'!$P:$P,$B5)</f>
        <v>13182862.781408001</v>
      </c>
      <c r="U5">
        <f>SUMIFS('Consulta1'!$M:$M,'Consulta1'!$D:$D,U$1,'Consulta1'!$P:$P,$B5)</f>
        <v>0</v>
      </c>
      <c r="V5">
        <f>SUMIFS('Consulta1'!$M:$M,'Consulta1'!$D:$D,V$1,'Consulta1'!$P:$P,$B5)</f>
        <v>0</v>
      </c>
      <c r="W5">
        <f>SUMIFS('Consulta1'!$M:$M,'Consulta1'!$D:$D,W$1,'Consulta1'!$P:$P,$B5)</f>
        <v>0</v>
      </c>
      <c r="X5">
        <f>SUMIFS('Consulta1'!$M:$M,'Consulta1'!$D:$D,X$1,'Consulta1'!$P:$P,$B5)</f>
        <v>0</v>
      </c>
      <c r="Y5">
        <f>SUMIFS('Consulta1'!$M:$M,'Consulta1'!$D:$D,Y$1,'Consulta1'!$P:$P,$B5)</f>
        <v>0</v>
      </c>
      <c r="Z5">
        <f>SUMIFS('Consulta1'!$M:$M,'Consulta1'!$D:$D,Z$1,'Consulta1'!$P:$P,$B5)</f>
        <v>0</v>
      </c>
      <c r="AD5">
        <v>4629623838.6303663</v>
      </c>
    </row>
    <row r="6" spans="2:30" x14ac:dyDescent="0.25">
      <c r="B6" t="str">
        <v>Garantia</v>
      </c>
      <c r="C6">
        <f>SUMIFS('Consulta1'!$M:$M,'Consulta1'!$D:$D,C$1,'Consulta1'!$P:$P,$B6)</f>
        <v>0</v>
      </c>
      <c r="D6">
        <f>SUMIFS('Consulta1'!$M:$M,'Consulta1'!$D:$D,D$1,'Consulta1'!$P:$P,$B6)</f>
        <v>0</v>
      </c>
      <c r="E6">
        <f>SUMIFS('Consulta1'!$M:$M,'Consulta1'!$D:$D,E$1,'Consulta1'!$P:$P,$B6)</f>
        <v>0</v>
      </c>
      <c r="F6">
        <f>SUMIFS('Consulta1'!$M:$M,'Consulta1'!$D:$D,F$1,'Consulta1'!$P:$P,$B6)</f>
        <v>110405111.727192</v>
      </c>
      <c r="G6">
        <f>SUMIFS('Consulta1'!$M:$M,'Consulta1'!$D:$D,G$1,'Consulta1'!$P:$P,$B6)</f>
        <v>0</v>
      </c>
      <c r="H6">
        <f>SUMIFS('Consulta1'!$M:$M,'Consulta1'!$D:$D,H$1,'Consulta1'!$P:$P,$B6)</f>
        <v>0</v>
      </c>
      <c r="I6">
        <f>SUMIFS('Consulta1'!$M:$M,'Consulta1'!$D:$D,I$1,'Consulta1'!$P:$P,$B6)</f>
        <v>80301137.354402006</v>
      </c>
      <c r="J6">
        <f>SUMIFS('Consulta1'!$M:$M,'Consulta1'!$D:$D,J$1,'Consulta1'!$P:$P,$B6)</f>
        <v>0</v>
      </c>
      <c r="K6">
        <f>SUMIFS('Consulta1'!$M:$M,'Consulta1'!$D:$D,K$1,'Consulta1'!$P:$P,$B6)</f>
        <v>0</v>
      </c>
      <c r="L6">
        <f>SUMIFS('Consulta1'!$M:$M,'Consulta1'!$D:$D,L$1,'Consulta1'!$P:$P,$B6)</f>
        <v>0</v>
      </c>
      <c r="M6">
        <f>SUMIFS('Consulta1'!$M:$M,'Consulta1'!$D:$D,M$1,'Consulta1'!$P:$P,$B6)</f>
        <v>0</v>
      </c>
      <c r="N6">
        <f>SUMIFS('Consulta1'!$M:$M,'Consulta1'!$D:$D,N$1,'Consulta1'!$P:$P,$B6)</f>
        <v>0</v>
      </c>
      <c r="O6">
        <f>SUMIFS('Consulta1'!$M:$M,'Consulta1'!$D:$D,O$1,'Consulta1'!$P:$P,$B6)</f>
        <v>0</v>
      </c>
      <c r="P6">
        <f>SUMIFS('Consulta1'!$M:$M,'Consulta1'!$D:$D,P$1,'Consulta1'!$P:$P,$B6)</f>
        <v>0</v>
      </c>
      <c r="Q6">
        <f>SUMIFS('Consulta1'!$M:$M,'Consulta1'!$D:$D,Q$1,'Consulta1'!$P:$P,$B6)</f>
        <v>0</v>
      </c>
      <c r="R6">
        <f>SUMIFS('Consulta1'!$M:$M,'Consulta1'!$D:$D,R$1,'Consulta1'!$P:$P,$B6)</f>
        <v>0</v>
      </c>
      <c r="S6">
        <f>SUMIFS('Consulta1'!$M:$M,'Consulta1'!$D:$D,S$1,'Consulta1'!$P:$P,$B6)</f>
        <v>0</v>
      </c>
      <c r="T6">
        <f>SUMIFS('Consulta1'!$M:$M,'Consulta1'!$D:$D,T$1,'Consulta1'!$P:$P,$B6)</f>
        <v>21640246.279842</v>
      </c>
      <c r="U6">
        <f>SUMIFS('Consulta1'!$M:$M,'Consulta1'!$D:$D,U$1,'Consulta1'!$P:$P,$B6)</f>
        <v>0</v>
      </c>
      <c r="V6">
        <f>SUMIFS('Consulta1'!$M:$M,'Consulta1'!$D:$D,V$1,'Consulta1'!$P:$P,$B6)</f>
        <v>0</v>
      </c>
      <c r="W6">
        <f>SUMIFS('Consulta1'!$M:$M,'Consulta1'!$D:$D,W$1,'Consulta1'!$P:$P,$B6)</f>
        <v>0</v>
      </c>
      <c r="X6">
        <f>SUMIFS('Consulta1'!$M:$M,'Consulta1'!$D:$D,X$1,'Consulta1'!$P:$P,$B6)</f>
        <v>0</v>
      </c>
      <c r="Y6">
        <f>SUMIFS('Consulta1'!$M:$M,'Consulta1'!$D:$D,Y$1,'Consulta1'!$P:$P,$B6)</f>
        <v>0</v>
      </c>
      <c r="Z6">
        <f>SUMIFS('Consulta1'!$M:$M,'Consulta1'!$D:$D,Z$1,'Consulta1'!$P:$P,$B6)</f>
        <v>0</v>
      </c>
      <c r="AD6">
        <v>1024924955.2621619</v>
      </c>
    </row>
    <row r="7" spans="2:30" x14ac:dyDescent="0.25">
      <c r="B7" t="str">
        <v>Pagare</v>
      </c>
      <c r="C7">
        <f>SUMIFS('Consulta1'!$M:$M,'Consulta1'!$D:$D,C$1,'Consulta1'!$P:$P,$B7)</f>
        <v>0</v>
      </c>
      <c r="D7">
        <f>SUMIFS('Consulta1'!$M:$M,'Consulta1'!$D:$D,D$1,'Consulta1'!$P:$P,$B7)</f>
        <v>0</v>
      </c>
      <c r="E7">
        <f>SUMIFS('Consulta1'!$M:$M,'Consulta1'!$D:$D,E$1,'Consulta1'!$P:$P,$B7)</f>
        <v>0</v>
      </c>
      <c r="F7">
        <f>SUMIFS('Consulta1'!$M:$M,'Consulta1'!$D:$D,F$1,'Consulta1'!$P:$P,$B7)</f>
        <v>0</v>
      </c>
      <c r="G7">
        <f>SUMIFS('Consulta1'!$M:$M,'Consulta1'!$D:$D,G$1,'Consulta1'!$P:$P,$B7)</f>
        <v>0</v>
      </c>
      <c r="H7">
        <f>SUMIFS('Consulta1'!$M:$M,'Consulta1'!$D:$D,H$1,'Consulta1'!$P:$P,$B7)</f>
        <v>0</v>
      </c>
      <c r="I7">
        <f>SUMIFS('Consulta1'!$M:$M,'Consulta1'!$D:$D,I$1,'Consulta1'!$P:$P,$B7)</f>
        <v>0</v>
      </c>
      <c r="J7">
        <f>SUMIFS('Consulta1'!$M:$M,'Consulta1'!$D:$D,J$1,'Consulta1'!$P:$P,$B7)</f>
        <v>0</v>
      </c>
      <c r="K7">
        <f>SUMIFS('Consulta1'!$M:$M,'Consulta1'!$D:$D,K$1,'Consulta1'!$P:$P,$B7)</f>
        <v>80.403698000000006</v>
      </c>
      <c r="L7">
        <f>SUMIFS('Consulta1'!$M:$M,'Consulta1'!$D:$D,L$1,'Consulta1'!$P:$P,$B7)</f>
        <v>0</v>
      </c>
      <c r="M7">
        <f>SUMIFS('Consulta1'!$M:$M,'Consulta1'!$D:$D,M$1,'Consulta1'!$P:$P,$B7)</f>
        <v>0</v>
      </c>
      <c r="N7">
        <f>SUMIFS('Consulta1'!$M:$M,'Consulta1'!$D:$D,N$1,'Consulta1'!$P:$P,$B7)</f>
        <v>0</v>
      </c>
      <c r="O7">
        <f>SUMIFS('Consulta1'!$M:$M,'Consulta1'!$D:$D,O$1,'Consulta1'!$P:$P,$B7)</f>
        <v>0</v>
      </c>
      <c r="P7">
        <f>SUMIFS('Consulta1'!$M:$M,'Consulta1'!$D:$D,P$1,'Consulta1'!$P:$P,$B7)</f>
        <v>0</v>
      </c>
      <c r="Q7">
        <f>SUMIFS('Consulta1'!$M:$M,'Consulta1'!$D:$D,Q$1,'Consulta1'!$P:$P,$B7)</f>
        <v>0</v>
      </c>
      <c r="R7">
        <f>SUMIFS('Consulta1'!$M:$M,'Consulta1'!$D:$D,R$1,'Consulta1'!$P:$P,$B7)</f>
        <v>3963.1463560000002</v>
      </c>
      <c r="S7">
        <f>SUMIFS('Consulta1'!$M:$M,'Consulta1'!$D:$D,S$1,'Consulta1'!$P:$P,$B7)</f>
        <v>0</v>
      </c>
      <c r="T7">
        <f>SUMIFS('Consulta1'!$M:$M,'Consulta1'!$D:$D,T$1,'Consulta1'!$P:$P,$B7)</f>
        <v>0</v>
      </c>
      <c r="U7">
        <f>SUMIFS('Consulta1'!$M:$M,'Consulta1'!$D:$D,U$1,'Consulta1'!$P:$P,$B7)</f>
        <v>0</v>
      </c>
      <c r="V7">
        <f>SUMIFS('Consulta1'!$M:$M,'Consulta1'!$D:$D,V$1,'Consulta1'!$P:$P,$B7)</f>
        <v>0</v>
      </c>
      <c r="W7">
        <f>SUMIFS('Consulta1'!$M:$M,'Consulta1'!$D:$D,W$1,'Consulta1'!$P:$P,$B7)</f>
        <v>0</v>
      </c>
      <c r="X7">
        <f>SUMIFS('Consulta1'!$M:$M,'Consulta1'!$D:$D,X$1,'Consulta1'!$P:$P,$B7)</f>
        <v>0</v>
      </c>
      <c r="Y7">
        <f>SUMIFS('Consulta1'!$M:$M,'Consulta1'!$D:$D,Y$1,'Consulta1'!$P:$P,$B7)</f>
        <v>0</v>
      </c>
      <c r="Z7">
        <f>SUMIFS('Consulta1'!$M:$M,'Consulta1'!$D:$D,Z$1,'Consulta1'!$P:$P,$B7)</f>
        <v>0</v>
      </c>
      <c r="AD7">
        <v>2155473671.2326789</v>
      </c>
    </row>
    <row r="8" spans="2:30" x14ac:dyDescent="0.25">
      <c r="B8">
        <v>0</v>
      </c>
      <c r="G8">
        <f>SUMIFS('Consulta1'!$M:$M,'Consulta1'!$D:$D,G$1,'Consulta1'!$P:$P,$B8)</f>
        <v>0</v>
      </c>
      <c r="H8">
        <f>SUMIFS('Consulta1'!$M:$M,'Consulta1'!$D:$D,H$1,'Consulta1'!$P:$P,$B8)</f>
        <v>0</v>
      </c>
      <c r="I8">
        <f>SUMIFS('Consulta1'!$M:$M,'Consulta1'!$D:$D,I$1,'Consulta1'!$P:$P,$B8)</f>
        <v>0</v>
      </c>
      <c r="J8">
        <f>SUMIFS('Consulta1'!$M:$M,'Consulta1'!$D:$D,J$1,'Consulta1'!$P:$P,$B8)</f>
        <v>0</v>
      </c>
      <c r="K8">
        <f>SUMIFS('Consulta1'!$M:$M,'Consulta1'!$D:$D,K$1,'Consulta1'!$P:$P,$B8)</f>
        <v>0</v>
      </c>
      <c r="L8">
        <f>SUMIFS('Consulta1'!$M:$M,'Consulta1'!$D:$D,L$1,'Consulta1'!$P:$P,$B8)</f>
        <v>0</v>
      </c>
      <c r="M8">
        <f>SUMIFS('Consulta1'!$M:$M,'Consulta1'!$D:$D,M$1,'Consulta1'!$P:$P,$B8)</f>
        <v>0</v>
      </c>
      <c r="N8">
        <f>SUMIFS('Consulta1'!$M:$M,'Consulta1'!$D:$D,N$1,'Consulta1'!$P:$P,$B8)</f>
        <v>0</v>
      </c>
      <c r="O8">
        <f>SUMIFS('Consulta1'!$M:$M,'Consulta1'!$D:$D,O$1,'Consulta1'!$P:$P,$B8)</f>
        <v>0</v>
      </c>
      <c r="P8">
        <f>SUMIFS('Consulta1'!$M:$M,'Consulta1'!$D:$D,P$1,'Consulta1'!$P:$P,$B8)</f>
        <v>0</v>
      </c>
      <c r="Q8">
        <f>SUMIFS('Consulta1'!$M:$M,'Consulta1'!$D:$D,Q$1,'Consulta1'!$P:$P,$B8)</f>
        <v>0</v>
      </c>
      <c r="R8">
        <f>SUMIFS('Consulta1'!$M:$M,'Consulta1'!$D:$D,R$1,'Consulta1'!$P:$P,$B8)</f>
        <v>0</v>
      </c>
      <c r="S8">
        <f>SUMIFS('Consulta1'!$M:$M,'Consulta1'!$D:$D,S$1,'Consulta1'!$P:$P,$B8)</f>
        <v>0</v>
      </c>
      <c r="T8">
        <f>SUMIFS('Consulta1'!$M:$M,'Consulta1'!$D:$D,T$1,'Consulta1'!$P:$P,$B8)</f>
        <v>0</v>
      </c>
      <c r="U8">
        <f>SUMIFS('Consulta1'!$M:$M,'Consulta1'!$D:$D,U$1,'Consulta1'!$P:$P,$B8)</f>
        <v>0</v>
      </c>
      <c r="V8">
        <f>SUMIFS('Consulta1'!$M:$M,'Consulta1'!$D:$D,V$1,'Consulta1'!$P:$P,$B8)</f>
        <v>0</v>
      </c>
      <c r="W8">
        <f>SUMIFS('Consulta1'!$M:$M,'Consulta1'!$D:$D,W$1,'Consulta1'!$P:$P,$B8)</f>
        <v>0</v>
      </c>
      <c r="X8">
        <f>SUMIFS('Consulta1'!$M:$M,'Consulta1'!$D:$D,X$1,'Consulta1'!$P:$P,$B8)</f>
        <v>0</v>
      </c>
      <c r="Y8">
        <f>SUMIFS('Consulta1'!$M:$M,'Consulta1'!$D:$D,Y$1,'Consulta1'!$P:$P,$B8)</f>
        <v>0</v>
      </c>
      <c r="Z8">
        <f>SUMIFS('Consulta1'!$M:$M,'Consulta1'!$D:$D,Z$1,'Consulta1'!$P:$P,$B8)</f>
        <v>0</v>
      </c>
      <c r="AD8">
        <v>807169454.65037405</v>
      </c>
    </row>
    <row r="9" spans="2:30" x14ac:dyDescent="0.25">
      <c r="AD9">
        <v>528584777.37070006</v>
      </c>
    </row>
    <row r="10" spans="2:30" x14ac:dyDescent="0.25">
      <c r="B10" t="s">
        <v>1380</v>
      </c>
      <c r="C10">
        <f>SUM(C2:C7)</f>
        <v>234765562.714095</v>
      </c>
      <c r="D10">
        <f t="shared" ref="D10:Y10" si="0">SUM(D2:D7)</f>
        <v>24663150258.556854</v>
      </c>
      <c r="E10">
        <f t="shared" si="0"/>
        <v>1460622638.0780551</v>
      </c>
      <c r="F10">
        <f t="shared" si="0"/>
        <v>4629623838.6303663</v>
      </c>
      <c r="G10">
        <f t="shared" si="0"/>
        <v>1024924955.2621619</v>
      </c>
      <c r="H10">
        <f t="shared" si="0"/>
        <v>2155473671.2326789</v>
      </c>
      <c r="I10">
        <f t="shared" si="0"/>
        <v>807169454.65037417</v>
      </c>
      <c r="J10">
        <f t="shared" si="0"/>
        <v>528584777.37070006</v>
      </c>
      <c r="K10">
        <f t="shared" si="0"/>
        <v>1107887168.2839139</v>
      </c>
      <c r="L10">
        <f t="shared" si="0"/>
        <v>2645505.7638750002</v>
      </c>
      <c r="M10">
        <f t="shared" si="0"/>
        <v>2676732.3368509999</v>
      </c>
      <c r="N10">
        <f t="shared" si="0"/>
        <v>1064693387.718603</v>
      </c>
      <c r="O10">
        <f t="shared" si="0"/>
        <v>678346309.44149292</v>
      </c>
      <c r="P10">
        <f t="shared" si="0"/>
        <v>3374726018.3124933</v>
      </c>
      <c r="Q10">
        <f t="shared" si="0"/>
        <v>923980090.96260309</v>
      </c>
      <c r="R10">
        <f t="shared" si="0"/>
        <v>2475379611.893054</v>
      </c>
      <c r="S10">
        <f t="shared" si="0"/>
        <v>476760484.58893806</v>
      </c>
      <c r="T10">
        <f t="shared" si="0"/>
        <v>1071017235.7405467</v>
      </c>
      <c r="U10">
        <f t="shared" si="0"/>
        <v>1587436855.3115098</v>
      </c>
      <c r="V10">
        <f t="shared" si="0"/>
        <v>322854431.63815403</v>
      </c>
      <c r="W10">
        <f t="shared" si="0"/>
        <v>2587049655.2363315</v>
      </c>
      <c r="X10">
        <f t="shared" si="0"/>
        <v>2118439.1045820001</v>
      </c>
      <c r="Y10">
        <f t="shared" si="0"/>
        <v>1062650464.298681</v>
      </c>
      <c r="Z10">
        <f>SUM(Z2:Z7)</f>
        <v>217640342.87161496</v>
      </c>
      <c r="AD10">
        <v>1107887168.2839136</v>
      </c>
    </row>
    <row r="11" spans="2:30" x14ac:dyDescent="0.25">
      <c r="C11">
        <v>234765562.714095</v>
      </c>
      <c r="D11">
        <v>24663150258.556858</v>
      </c>
      <c r="E11">
        <v>1460622638.0780549</v>
      </c>
      <c r="F11">
        <v>4629623838.6303663</v>
      </c>
      <c r="G11">
        <v>1024924955.2621619</v>
      </c>
      <c r="H11">
        <v>2155473671.2326789</v>
      </c>
      <c r="I11">
        <v>807169454.65037405</v>
      </c>
      <c r="J11">
        <v>528584777.37070006</v>
      </c>
      <c r="K11">
        <v>1107887168.2839136</v>
      </c>
      <c r="L11">
        <v>2645505.7638750002</v>
      </c>
      <c r="M11">
        <v>2676732.3368509999</v>
      </c>
      <c r="N11">
        <v>1064693387.718603</v>
      </c>
      <c r="O11">
        <v>678346309.44149303</v>
      </c>
      <c r="P11">
        <v>3374726018.3124928</v>
      </c>
      <c r="Q11">
        <v>923980090.96260297</v>
      </c>
      <c r="R11">
        <v>2475379611.893054</v>
      </c>
      <c r="S11">
        <v>476760484.588938</v>
      </c>
      <c r="T11">
        <v>1071017235.7405468</v>
      </c>
      <c r="U11">
        <v>1587436855.3115098</v>
      </c>
      <c r="V11">
        <v>322854431.63815403</v>
      </c>
      <c r="W11">
        <v>2587049655.2363319</v>
      </c>
      <c r="X11">
        <v>2118439.1045820001</v>
      </c>
      <c r="Y11">
        <v>1062650464.298681</v>
      </c>
      <c r="Z11">
        <v>217640342.87161496</v>
      </c>
      <c r="AD11">
        <v>2645505.7638750002</v>
      </c>
    </row>
    <row r="12" spans="2:30" x14ac:dyDescent="0.25">
      <c r="C12">
        <f>MATCH(C10,C11)</f>
        <v>1</v>
      </c>
      <c r="D12" t="e">
        <f>MATCH(D10,D11)</f>
        <v>#N/A</v>
      </c>
      <c r="E12">
        <f>MATCH(E10,E11)</f>
        <v>1</v>
      </c>
      <c r="F12">
        <f t="shared" ref="F12:Z12" si="1">MATCH(F10,F11)</f>
        <v>1</v>
      </c>
      <c r="G12">
        <f t="shared" si="1"/>
        <v>1</v>
      </c>
      <c r="H12">
        <f t="shared" si="1"/>
        <v>1</v>
      </c>
      <c r="I12">
        <f t="shared" si="1"/>
        <v>1</v>
      </c>
      <c r="J12">
        <f t="shared" si="1"/>
        <v>1</v>
      </c>
      <c r="K12">
        <f t="shared" si="1"/>
        <v>1</v>
      </c>
      <c r="L12">
        <f t="shared" si="1"/>
        <v>1</v>
      </c>
      <c r="M12">
        <f t="shared" si="1"/>
        <v>1</v>
      </c>
      <c r="N12">
        <f t="shared" si="1"/>
        <v>1</v>
      </c>
      <c r="O12" t="e">
        <f>MATCH(O10,O11)</f>
        <v>#N/A</v>
      </c>
      <c r="P12">
        <f t="shared" si="1"/>
        <v>1</v>
      </c>
      <c r="Q12">
        <f t="shared" si="1"/>
        <v>1</v>
      </c>
      <c r="R12">
        <f t="shared" si="1"/>
        <v>1</v>
      </c>
      <c r="S12">
        <f t="shared" si="1"/>
        <v>1</v>
      </c>
      <c r="T12" t="e">
        <f>MATCH(T10,T11)</f>
        <v>#N/A</v>
      </c>
      <c r="U12">
        <f t="shared" si="1"/>
        <v>1</v>
      </c>
      <c r="V12">
        <f t="shared" si="1"/>
        <v>1</v>
      </c>
      <c r="W12" t="e">
        <f>MATCH(W10,W11)</f>
        <v>#N/A</v>
      </c>
      <c r="X12">
        <f t="shared" si="1"/>
        <v>1</v>
      </c>
      <c r="Y12">
        <f t="shared" si="1"/>
        <v>1</v>
      </c>
      <c r="Z12">
        <f t="shared" si="1"/>
        <v>1</v>
      </c>
      <c r="AD12">
        <v>2676732.3368509999</v>
      </c>
    </row>
    <row r="13" spans="2:30" x14ac:dyDescent="0.25">
      <c r="AD13">
        <v>1064693387.718603</v>
      </c>
    </row>
    <row r="14" spans="2:30" x14ac:dyDescent="0.25">
      <c r="AD14">
        <v>678346309.44149303</v>
      </c>
    </row>
    <row r="15" spans="2:30" x14ac:dyDescent="0.25">
      <c r="B15" t="str" cm="1">
        <f t="array" ref="B15:B22">_xlfn.UNIQUE('Consulta1'!P:P)</f>
        <v>CLASIFICACION_OBS</v>
      </c>
      <c r="C15" t="s">
        <v>18</v>
      </c>
      <c r="D15" t="s">
        <v>35</v>
      </c>
      <c r="E15" t="s">
        <v>56</v>
      </c>
      <c r="F15" t="s">
        <v>60</v>
      </c>
      <c r="G15" t="s">
        <v>65</v>
      </c>
      <c r="H15" t="s">
        <v>69</v>
      </c>
      <c r="I15" t="s">
        <v>75</v>
      </c>
      <c r="J15" t="s">
        <v>79</v>
      </c>
      <c r="K15" t="s">
        <v>82</v>
      </c>
      <c r="L15" t="s">
        <v>86</v>
      </c>
      <c r="M15" t="s">
        <v>96</v>
      </c>
      <c r="N15" t="s">
        <v>99</v>
      </c>
      <c r="O15" t="s">
        <v>102</v>
      </c>
      <c r="P15" t="s">
        <v>104</v>
      </c>
      <c r="Q15" t="s">
        <v>108</v>
      </c>
      <c r="R15" t="s">
        <v>111</v>
      </c>
      <c r="S15" t="s">
        <v>114</v>
      </c>
      <c r="T15" t="s">
        <v>117</v>
      </c>
      <c r="U15" t="s">
        <v>122</v>
      </c>
      <c r="V15" t="s">
        <v>1324</v>
      </c>
      <c r="W15" t="s">
        <v>124</v>
      </c>
      <c r="X15" t="s">
        <v>127</v>
      </c>
      <c r="Y15" t="s">
        <v>132</v>
      </c>
      <c r="Z15" t="s">
        <v>135</v>
      </c>
      <c r="AA15" t="s">
        <v>1381</v>
      </c>
      <c r="AD15">
        <v>3374726018.3124928</v>
      </c>
    </row>
    <row r="16" spans="2:30" x14ac:dyDescent="0.25">
      <c r="B16" t="str">
        <v>FMX</v>
      </c>
      <c r="C16" s="7">
        <f>_xlfn.PERCENTOF(C2,C$10)</f>
        <v>1</v>
      </c>
      <c r="D16" s="7">
        <f t="shared" ref="D16:Z16" si="2">_xlfn.PERCENTOF(D2,D$10)</f>
        <v>0.74769557820256227</v>
      </c>
      <c r="E16" s="7">
        <f t="shared" si="2"/>
        <v>0.1773332926132932</v>
      </c>
      <c r="F16" s="7">
        <f t="shared" si="2"/>
        <v>0.77478937556965277</v>
      </c>
      <c r="G16" s="7">
        <f t="shared" si="2"/>
        <v>0.62901423929934308</v>
      </c>
      <c r="H16" s="7">
        <f t="shared" si="2"/>
        <v>0.21396259304350623</v>
      </c>
      <c r="I16" s="7">
        <f t="shared" si="2"/>
        <v>0.6388446090097768</v>
      </c>
      <c r="J16" s="7">
        <f t="shared" si="2"/>
        <v>0.97213462023339858</v>
      </c>
      <c r="K16" s="7">
        <f t="shared" si="2"/>
        <v>0.96271150220004953</v>
      </c>
      <c r="L16" s="7">
        <f t="shared" si="2"/>
        <v>1</v>
      </c>
      <c r="M16" s="7">
        <f t="shared" si="2"/>
        <v>1</v>
      </c>
      <c r="N16" s="7">
        <f t="shared" si="2"/>
        <v>1</v>
      </c>
      <c r="O16" s="7">
        <f t="shared" si="2"/>
        <v>0.79900802749597855</v>
      </c>
      <c r="P16" s="7">
        <f t="shared" si="2"/>
        <v>0.55036029255796737</v>
      </c>
      <c r="Q16" s="7">
        <f t="shared" si="2"/>
        <v>0.5424355402941744</v>
      </c>
      <c r="R16" s="7">
        <f t="shared" si="2"/>
        <v>0.76730638232902282</v>
      </c>
      <c r="S16" s="7">
        <f t="shared" si="2"/>
        <v>0.20824239481477694</v>
      </c>
      <c r="T16" s="7">
        <f t="shared" si="2"/>
        <v>0.86177033508651213</v>
      </c>
      <c r="U16" s="7">
        <f t="shared" si="2"/>
        <v>0.65748612516936833</v>
      </c>
      <c r="V16" s="7">
        <f t="shared" si="2"/>
        <v>0.60712939479230477</v>
      </c>
      <c r="W16" s="7">
        <f t="shared" si="2"/>
        <v>0.66203038269117331</v>
      </c>
      <c r="X16" s="7">
        <f t="shared" si="2"/>
        <v>0.81084990397584977</v>
      </c>
      <c r="Y16" s="7">
        <f t="shared" si="2"/>
        <v>0.99552649284948713</v>
      </c>
      <c r="Z16" s="7">
        <f t="shared" si="2"/>
        <v>1</v>
      </c>
      <c r="AD16">
        <v>923980090.96260297</v>
      </c>
    </row>
    <row r="17" spans="2:30" x14ac:dyDescent="0.25">
      <c r="B17" t="str">
        <v>Inmob</v>
      </c>
      <c r="C17" s="7">
        <f t="shared" ref="C17:Z17" si="3">_xlfn.PERCENTOF(C3,C$10)</f>
        <v>0</v>
      </c>
      <c r="D17" s="7">
        <f t="shared" si="3"/>
        <v>0.13746062371166604</v>
      </c>
      <c r="E17" s="7">
        <f t="shared" si="3"/>
        <v>0.57385420309045887</v>
      </c>
      <c r="F17" s="7">
        <f t="shared" si="3"/>
        <v>0.18652581430925111</v>
      </c>
      <c r="G17" s="7">
        <f t="shared" si="3"/>
        <v>0.35539534067845863</v>
      </c>
      <c r="H17" s="7">
        <f t="shared" si="3"/>
        <v>0</v>
      </c>
      <c r="I17" s="7">
        <f t="shared" si="3"/>
        <v>0.26167053450592448</v>
      </c>
      <c r="J17" s="7">
        <f t="shared" si="3"/>
        <v>2.7865379766601379E-2</v>
      </c>
      <c r="K17" s="7">
        <f t="shared" si="3"/>
        <v>3.7288425226045495E-2</v>
      </c>
      <c r="L17" s="7">
        <f t="shared" si="3"/>
        <v>0</v>
      </c>
      <c r="M17" s="7">
        <f t="shared" si="3"/>
        <v>0</v>
      </c>
      <c r="N17" s="7">
        <f t="shared" si="3"/>
        <v>0</v>
      </c>
      <c r="O17" s="7">
        <f t="shared" si="3"/>
        <v>0.11848024015923674</v>
      </c>
      <c r="P17" s="7">
        <f t="shared" si="3"/>
        <v>0.33449135890752119</v>
      </c>
      <c r="Q17" s="7">
        <f t="shared" si="3"/>
        <v>0.45756445970582549</v>
      </c>
      <c r="R17" s="7">
        <f t="shared" si="3"/>
        <v>9.8658303787275081E-2</v>
      </c>
      <c r="S17" s="7">
        <f t="shared" si="3"/>
        <v>0.78101164624543318</v>
      </c>
      <c r="T17" s="7">
        <f t="shared" si="3"/>
        <v>8.1070475939530998E-2</v>
      </c>
      <c r="U17" s="7">
        <f t="shared" si="3"/>
        <v>0.34251387483063167</v>
      </c>
      <c r="V17" s="7">
        <f t="shared" si="3"/>
        <v>0.39287060520769507</v>
      </c>
      <c r="W17" s="7">
        <f t="shared" si="3"/>
        <v>0.22146172276882975</v>
      </c>
      <c r="X17" s="7">
        <f t="shared" si="3"/>
        <v>0</v>
      </c>
      <c r="Y17" s="7">
        <f t="shared" si="3"/>
        <v>4.4735071505128971E-3</v>
      </c>
      <c r="Z17" s="7">
        <f t="shared" si="3"/>
        <v>0</v>
      </c>
      <c r="AD17">
        <v>2475379611.893054</v>
      </c>
    </row>
    <row r="18" spans="2:30" x14ac:dyDescent="0.25">
      <c r="B18" t="str">
        <v>Revisar</v>
      </c>
      <c r="C18" s="7">
        <f t="shared" ref="C18:Z18" si="4">_xlfn.PERCENTOF(C4,C$10)</f>
        <v>0</v>
      </c>
      <c r="D18" s="7">
        <f t="shared" si="4"/>
        <v>7.6996881693892447E-2</v>
      </c>
      <c r="E18" s="7">
        <f t="shared" si="4"/>
        <v>0.2488125042962479</v>
      </c>
      <c r="F18" s="7">
        <f t="shared" si="4"/>
        <v>1.4837276158195528E-2</v>
      </c>
      <c r="G18" s="7">
        <f t="shared" si="4"/>
        <v>9.5404290787356859E-3</v>
      </c>
      <c r="H18" s="7">
        <f t="shared" si="4"/>
        <v>0</v>
      </c>
      <c r="I18" s="7">
        <f t="shared" si="4"/>
        <v>0</v>
      </c>
      <c r="J18" s="7">
        <f t="shared" si="4"/>
        <v>0</v>
      </c>
      <c r="K18" s="7">
        <f t="shared" si="4"/>
        <v>0</v>
      </c>
      <c r="L18" s="7">
        <f t="shared" si="4"/>
        <v>0</v>
      </c>
      <c r="M18" s="7">
        <f t="shared" si="4"/>
        <v>0</v>
      </c>
      <c r="N18" s="7">
        <f t="shared" si="4"/>
        <v>0</v>
      </c>
      <c r="O18" s="7">
        <f t="shared" si="4"/>
        <v>0</v>
      </c>
      <c r="P18" s="7">
        <f t="shared" si="4"/>
        <v>2.672253795435028E-2</v>
      </c>
      <c r="Q18" s="7">
        <f t="shared" si="4"/>
        <v>0</v>
      </c>
      <c r="R18" s="7">
        <f t="shared" si="4"/>
        <v>5.3673303584646365E-3</v>
      </c>
      <c r="S18" s="7">
        <f t="shared" si="4"/>
        <v>0</v>
      </c>
      <c r="T18" s="7">
        <f t="shared" si="4"/>
        <v>2.4645137939874634E-2</v>
      </c>
      <c r="U18" s="7">
        <f t="shared" si="4"/>
        <v>0</v>
      </c>
      <c r="V18" s="7">
        <f t="shared" si="4"/>
        <v>0</v>
      </c>
      <c r="W18" s="7">
        <f t="shared" si="4"/>
        <v>0.11650789453999696</v>
      </c>
      <c r="X18" s="7">
        <f t="shared" si="4"/>
        <v>0.18915009602415017</v>
      </c>
      <c r="Y18" s="7">
        <f t="shared" si="4"/>
        <v>0</v>
      </c>
      <c r="Z18" s="7">
        <f t="shared" si="4"/>
        <v>0</v>
      </c>
      <c r="AD18">
        <v>476760484.588938</v>
      </c>
    </row>
    <row r="19" spans="2:30" x14ac:dyDescent="0.25">
      <c r="B19" t="str">
        <v>Nota estructurada</v>
      </c>
      <c r="C19" s="7">
        <f t="shared" ref="C19:Z19" si="5">_xlfn.PERCENTOF(C5,C$10)</f>
        <v>0</v>
      </c>
      <c r="D19" s="7">
        <f t="shared" si="5"/>
        <v>3.7846916391879155E-2</v>
      </c>
      <c r="E19" s="7">
        <f t="shared" si="5"/>
        <v>0</v>
      </c>
      <c r="F19" s="7">
        <f t="shared" si="5"/>
        <v>0</v>
      </c>
      <c r="G19" s="7">
        <f t="shared" si="5"/>
        <v>6.049990943462708E-3</v>
      </c>
      <c r="H19" s="7">
        <f t="shared" si="5"/>
        <v>0.78603740695649382</v>
      </c>
      <c r="I19" s="7">
        <f t="shared" si="5"/>
        <v>0</v>
      </c>
      <c r="J19" s="7">
        <f t="shared" si="5"/>
        <v>0</v>
      </c>
      <c r="K19" s="7">
        <f t="shared" si="5"/>
        <v>0</v>
      </c>
      <c r="L19" s="7">
        <f t="shared" si="5"/>
        <v>0</v>
      </c>
      <c r="M19" s="7">
        <f t="shared" si="5"/>
        <v>0</v>
      </c>
      <c r="N19" s="7">
        <f t="shared" si="5"/>
        <v>0</v>
      </c>
      <c r="O19" s="7">
        <f t="shared" si="5"/>
        <v>8.2511732344784747E-2</v>
      </c>
      <c r="P19" s="7">
        <f t="shared" si="5"/>
        <v>8.8425810580161163E-2</v>
      </c>
      <c r="Q19" s="7">
        <f t="shared" si="5"/>
        <v>0</v>
      </c>
      <c r="R19" s="7">
        <f t="shared" si="5"/>
        <v>0.1286663824995454</v>
      </c>
      <c r="S19" s="7">
        <f t="shared" si="5"/>
        <v>1.0745958939789767E-2</v>
      </c>
      <c r="T19" s="7">
        <f t="shared" si="5"/>
        <v>1.230873074819642E-2</v>
      </c>
      <c r="U19" s="7">
        <f t="shared" si="5"/>
        <v>0</v>
      </c>
      <c r="V19" s="7">
        <f t="shared" si="5"/>
        <v>0</v>
      </c>
      <c r="W19" s="7">
        <f t="shared" si="5"/>
        <v>0</v>
      </c>
      <c r="X19" s="7">
        <f t="shared" si="5"/>
        <v>0</v>
      </c>
      <c r="Y19" s="7">
        <f t="shared" si="5"/>
        <v>0</v>
      </c>
      <c r="Z19" s="7">
        <f t="shared" si="5"/>
        <v>0</v>
      </c>
      <c r="AD19">
        <v>1071017235.7405468</v>
      </c>
    </row>
    <row r="20" spans="2:30" x14ac:dyDescent="0.25">
      <c r="B20" t="str">
        <v>Garantia</v>
      </c>
      <c r="C20" s="7">
        <f t="shared" ref="C20:Z20" si="6">_xlfn.PERCENTOF(C6,C$10)</f>
        <v>0</v>
      </c>
      <c r="D20" s="7">
        <f t="shared" si="6"/>
        <v>0</v>
      </c>
      <c r="E20" s="7">
        <f t="shared" si="6"/>
        <v>0</v>
      </c>
      <c r="F20" s="7">
        <f t="shared" si="6"/>
        <v>2.3847533962900621E-2</v>
      </c>
      <c r="G20" s="7">
        <f t="shared" si="6"/>
        <v>0</v>
      </c>
      <c r="H20" s="7">
        <f t="shared" si="6"/>
        <v>0</v>
      </c>
      <c r="I20" s="7">
        <f t="shared" si="6"/>
        <v>9.9484856484298556E-2</v>
      </c>
      <c r="J20" s="7">
        <f t="shared" si="6"/>
        <v>0</v>
      </c>
      <c r="K20" s="7">
        <f t="shared" si="6"/>
        <v>0</v>
      </c>
      <c r="L20" s="7">
        <f t="shared" si="6"/>
        <v>0</v>
      </c>
      <c r="M20" s="7">
        <f t="shared" si="6"/>
        <v>0</v>
      </c>
      <c r="N20" s="7">
        <f t="shared" si="6"/>
        <v>0</v>
      </c>
      <c r="O20" s="7">
        <f t="shared" si="6"/>
        <v>0</v>
      </c>
      <c r="P20" s="7">
        <f t="shared" si="6"/>
        <v>0</v>
      </c>
      <c r="Q20" s="7">
        <f t="shared" si="6"/>
        <v>0</v>
      </c>
      <c r="R20" s="7">
        <f t="shared" si="6"/>
        <v>0</v>
      </c>
      <c r="S20" s="7">
        <f t="shared" si="6"/>
        <v>0</v>
      </c>
      <c r="T20" s="7">
        <f t="shared" si="6"/>
        <v>2.0205320285885984E-2</v>
      </c>
      <c r="U20" s="7">
        <f t="shared" si="6"/>
        <v>0</v>
      </c>
      <c r="V20" s="7">
        <f t="shared" si="6"/>
        <v>0</v>
      </c>
      <c r="W20" s="7">
        <f t="shared" si="6"/>
        <v>0</v>
      </c>
      <c r="X20" s="7">
        <f t="shared" si="6"/>
        <v>0</v>
      </c>
      <c r="Y20" s="7">
        <f t="shared" si="6"/>
        <v>0</v>
      </c>
      <c r="Z20" s="7">
        <f t="shared" si="6"/>
        <v>0</v>
      </c>
      <c r="AD20">
        <v>1587436855.3115098</v>
      </c>
    </row>
    <row r="21" spans="2:30" x14ac:dyDescent="0.25">
      <c r="B21" t="str">
        <v>Pagare</v>
      </c>
      <c r="C21" s="7">
        <f t="shared" ref="C21:Z21" si="7">_xlfn.PERCENTOF(C7,C$10)</f>
        <v>0</v>
      </c>
      <c r="D21" s="7">
        <f t="shared" si="7"/>
        <v>0</v>
      </c>
      <c r="E21" s="7">
        <f t="shared" si="7"/>
        <v>0</v>
      </c>
      <c r="F21" s="7">
        <f t="shared" si="7"/>
        <v>0</v>
      </c>
      <c r="G21" s="7">
        <f t="shared" si="7"/>
        <v>0</v>
      </c>
      <c r="H21" s="7">
        <f t="shared" si="7"/>
        <v>0</v>
      </c>
      <c r="I21" s="7">
        <f t="shared" si="7"/>
        <v>0</v>
      </c>
      <c r="J21" s="7">
        <f t="shared" si="7"/>
        <v>0</v>
      </c>
      <c r="K21" s="7">
        <f t="shared" si="7"/>
        <v>7.2573904908153304E-8</v>
      </c>
      <c r="L21" s="7">
        <f t="shared" si="7"/>
        <v>0</v>
      </c>
      <c r="M21" s="7">
        <f t="shared" si="7"/>
        <v>0</v>
      </c>
      <c r="N21" s="7">
        <f t="shared" si="7"/>
        <v>0</v>
      </c>
      <c r="O21" s="7">
        <f t="shared" si="7"/>
        <v>0</v>
      </c>
      <c r="P21" s="7">
        <f t="shared" si="7"/>
        <v>0</v>
      </c>
      <c r="Q21" s="7">
        <f t="shared" si="7"/>
        <v>0</v>
      </c>
      <c r="R21" s="7">
        <f t="shared" si="7"/>
        <v>1.6010256919621197E-6</v>
      </c>
      <c r="S21" s="7">
        <f t="shared" si="7"/>
        <v>0</v>
      </c>
      <c r="T21" s="7">
        <f t="shared" si="7"/>
        <v>0</v>
      </c>
      <c r="U21" s="7">
        <f t="shared" si="7"/>
        <v>0</v>
      </c>
      <c r="V21" s="7">
        <f t="shared" si="7"/>
        <v>0</v>
      </c>
      <c r="W21" s="7">
        <f t="shared" si="7"/>
        <v>0</v>
      </c>
      <c r="X21" s="7">
        <f t="shared" si="7"/>
        <v>0</v>
      </c>
      <c r="Y21" s="7">
        <f t="shared" si="7"/>
        <v>0</v>
      </c>
      <c r="Z21" s="7">
        <f t="shared" si="7"/>
        <v>0</v>
      </c>
      <c r="AD21">
        <v>322854431.63815403</v>
      </c>
    </row>
    <row r="22" spans="2:30" x14ac:dyDescent="0.25">
      <c r="B22">
        <v>0</v>
      </c>
      <c r="G22">
        <f>SUMIFS('Consulta1'!$M:$M,'Consulta1'!$D:$D,G$1,'Consulta1'!$P:$P,$B22)</f>
        <v>0</v>
      </c>
      <c r="H22">
        <f>SUMIFS('Consulta1'!$M:$M,'Consulta1'!$D:$D,H$1,'Consulta1'!$P:$P,$B22)</f>
        <v>0</v>
      </c>
      <c r="I22">
        <f>SUMIFS('Consulta1'!$M:$M,'Consulta1'!$D:$D,I$1,'Consulta1'!$P:$P,$B22)</f>
        <v>0</v>
      </c>
      <c r="J22">
        <f>SUMIFS('Consulta1'!$M:$M,'Consulta1'!$D:$D,J$1,'Consulta1'!$P:$P,$B22)</f>
        <v>0</v>
      </c>
      <c r="K22">
        <f>SUMIFS('Consulta1'!$M:$M,'Consulta1'!$D:$D,K$1,'Consulta1'!$P:$P,$B22)</f>
        <v>0</v>
      </c>
      <c r="L22">
        <f>SUMIFS('Consulta1'!$M:$M,'Consulta1'!$D:$D,L$1,'Consulta1'!$P:$P,$B22)</f>
        <v>0</v>
      </c>
      <c r="M22">
        <f>SUMIFS('Consulta1'!$M:$M,'Consulta1'!$D:$D,M$1,'Consulta1'!$P:$P,$B22)</f>
        <v>0</v>
      </c>
      <c r="N22">
        <f>SUMIFS('Consulta1'!$M:$M,'Consulta1'!$D:$D,N$1,'Consulta1'!$P:$P,$B22)</f>
        <v>0</v>
      </c>
      <c r="O22">
        <f>SUMIFS('Consulta1'!$M:$M,'Consulta1'!$D:$D,O$1,'Consulta1'!$P:$P,$B22)</f>
        <v>0</v>
      </c>
      <c r="P22">
        <f>SUMIFS('Consulta1'!$M:$M,'Consulta1'!$D:$D,P$1,'Consulta1'!$P:$P,$B22)</f>
        <v>0</v>
      </c>
      <c r="Q22">
        <f>SUMIFS('Consulta1'!$M:$M,'Consulta1'!$D:$D,Q$1,'Consulta1'!$P:$P,$B22)</f>
        <v>0</v>
      </c>
      <c r="R22">
        <f>SUMIFS('Consulta1'!$M:$M,'Consulta1'!$D:$D,R$1,'Consulta1'!$P:$P,$B22)</f>
        <v>0</v>
      </c>
      <c r="S22">
        <f>SUMIFS('Consulta1'!$M:$M,'Consulta1'!$D:$D,S$1,'Consulta1'!$P:$P,$B22)</f>
        <v>0</v>
      </c>
      <c r="T22">
        <f>SUMIFS('Consulta1'!$M:$M,'Consulta1'!$D:$D,T$1,'Consulta1'!$P:$P,$B22)</f>
        <v>0</v>
      </c>
      <c r="U22">
        <f>SUMIFS('Consulta1'!$M:$M,'Consulta1'!$D:$D,U$1,'Consulta1'!$P:$P,$B22)</f>
        <v>0</v>
      </c>
      <c r="V22">
        <f>SUMIFS('Consulta1'!$M:$M,'Consulta1'!$D:$D,V$1,'Consulta1'!$P:$P,$B22)</f>
        <v>0</v>
      </c>
      <c r="W22">
        <f>SUMIFS('Consulta1'!$M:$M,'Consulta1'!$D:$D,W$1,'Consulta1'!$P:$P,$B22)</f>
        <v>0</v>
      </c>
      <c r="X22">
        <f>SUMIFS('Consulta1'!$M:$M,'Consulta1'!$D:$D,X$1,'Consulta1'!$P:$P,$B22)</f>
        <v>0</v>
      </c>
      <c r="Y22">
        <f>SUMIFS('Consulta1'!$M:$M,'Consulta1'!$D:$D,Y$1,'Consulta1'!$P:$P,$B22)</f>
        <v>0</v>
      </c>
      <c r="Z22">
        <f>SUMIFS('Consulta1'!$M:$M,'Consulta1'!$D:$D,Z$1,'Consulta1'!$P:$P,$B22)</f>
        <v>0</v>
      </c>
      <c r="AD22">
        <v>2587049655.2363319</v>
      </c>
    </row>
    <row r="23" spans="2:30" x14ac:dyDescent="0.25">
      <c r="B23" t="s">
        <v>1380</v>
      </c>
      <c r="C23" s="8">
        <f>SUM(C16:C21)</f>
        <v>1</v>
      </c>
      <c r="D23" s="8">
        <f t="shared" ref="D23:Z23" si="8">SUM(D16:D21)</f>
        <v>0.99999999999999989</v>
      </c>
      <c r="E23" s="8">
        <f t="shared" si="8"/>
        <v>1</v>
      </c>
      <c r="F23" s="8">
        <f t="shared" si="8"/>
        <v>1</v>
      </c>
      <c r="G23" s="8">
        <f t="shared" si="8"/>
        <v>1</v>
      </c>
      <c r="H23" s="8">
        <f t="shared" si="8"/>
        <v>1</v>
      </c>
      <c r="I23" s="8">
        <f t="shared" si="8"/>
        <v>0.99999999999999978</v>
      </c>
      <c r="J23" s="8">
        <f t="shared" si="8"/>
        <v>1</v>
      </c>
      <c r="K23" s="8">
        <f t="shared" si="8"/>
        <v>0.99999999999999989</v>
      </c>
      <c r="L23" s="8">
        <f t="shared" si="8"/>
        <v>1</v>
      </c>
      <c r="M23" s="8">
        <f t="shared" si="8"/>
        <v>1</v>
      </c>
      <c r="N23" s="8">
        <f t="shared" si="8"/>
        <v>1</v>
      </c>
      <c r="O23" s="8">
        <f t="shared" si="8"/>
        <v>1</v>
      </c>
      <c r="P23" s="8">
        <f t="shared" si="8"/>
        <v>1</v>
      </c>
      <c r="Q23" s="8">
        <f t="shared" si="8"/>
        <v>0.99999999999999989</v>
      </c>
      <c r="R23" s="8">
        <f t="shared" si="8"/>
        <v>0.99999999999999989</v>
      </c>
      <c r="S23" s="8">
        <f t="shared" si="8"/>
        <v>0.99999999999999989</v>
      </c>
      <c r="T23" s="8">
        <f t="shared" si="8"/>
        <v>1.0000000000000002</v>
      </c>
      <c r="U23" s="8">
        <f t="shared" si="8"/>
        <v>1</v>
      </c>
      <c r="V23" s="8">
        <f t="shared" si="8"/>
        <v>0.99999999999999978</v>
      </c>
      <c r="W23" s="8">
        <f t="shared" si="8"/>
        <v>1</v>
      </c>
      <c r="X23" s="8">
        <f t="shared" si="8"/>
        <v>1</v>
      </c>
      <c r="Y23" s="8">
        <f t="shared" si="8"/>
        <v>1</v>
      </c>
      <c r="Z23" s="8">
        <f t="shared" si="8"/>
        <v>1</v>
      </c>
      <c r="AD23">
        <v>2118439.1045820001</v>
      </c>
    </row>
    <row r="24" spans="2:30" x14ac:dyDescent="0.25">
      <c r="AD24">
        <v>1062650464.298681</v>
      </c>
    </row>
    <row r="25" spans="2:30" x14ac:dyDescent="0.25">
      <c r="AD25">
        <v>217640342.87161496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EA471-F4BE-4D20-BE6E-8B93F3C971AF}">
  <dimension ref="B2:AA20"/>
  <sheetViews>
    <sheetView topLeftCell="L1" workbookViewId="0">
      <selection activeCell="C2" sqref="C2:AA2"/>
    </sheetView>
  </sheetViews>
  <sheetFormatPr baseColWidth="10" defaultRowHeight="15" x14ac:dyDescent="0.25"/>
  <sheetData>
    <row r="2" spans="2:27" x14ac:dyDescent="0.25">
      <c r="B2" t="str" cm="1">
        <f t="array" ref="B2:B7">_xlfn.UNIQUE('Consulta1'!S:S)</f>
        <v>TRAMO</v>
      </c>
      <c r="C2" t="s">
        <v>18</v>
      </c>
      <c r="D2" t="s">
        <v>35</v>
      </c>
      <c r="E2" t="s">
        <v>56</v>
      </c>
      <c r="F2" t="s">
        <v>60</v>
      </c>
      <c r="G2" t="s">
        <v>65</v>
      </c>
      <c r="H2" t="s">
        <v>69</v>
      </c>
      <c r="I2" t="s">
        <v>75</v>
      </c>
      <c r="J2" t="s">
        <v>79</v>
      </c>
      <c r="K2" t="s">
        <v>82</v>
      </c>
      <c r="L2" t="s">
        <v>86</v>
      </c>
      <c r="M2" t="s">
        <v>96</v>
      </c>
      <c r="N2" t="s">
        <v>99</v>
      </c>
      <c r="O2" t="s">
        <v>102</v>
      </c>
      <c r="P2" t="s">
        <v>104</v>
      </c>
      <c r="Q2" t="s">
        <v>108</v>
      </c>
      <c r="R2" t="s">
        <v>111</v>
      </c>
      <c r="S2" t="s">
        <v>114</v>
      </c>
      <c r="T2" t="s">
        <v>117</v>
      </c>
      <c r="U2" t="s">
        <v>122</v>
      </c>
      <c r="V2" t="s">
        <v>1324</v>
      </c>
      <c r="W2" t="s">
        <v>124</v>
      </c>
      <c r="X2" t="s">
        <v>127</v>
      </c>
      <c r="Y2" t="s">
        <v>132</v>
      </c>
      <c r="Z2" t="s">
        <v>135</v>
      </c>
      <c r="AA2" t="s">
        <v>1381</v>
      </c>
    </row>
    <row r="3" spans="2:27" x14ac:dyDescent="0.25">
      <c r="B3" t="str">
        <v>Entre 31 y 90 días</v>
      </c>
      <c r="C3">
        <f>SUMIFS('Consulta1'!$M:$M,'Consulta1'!$D:$D,duracion!C$2,'Consulta1'!$S:$S,duracion!$B$3)</f>
        <v>65724644.582389005</v>
      </c>
      <c r="D3">
        <f>SUMIFS('Consulta1'!$M:$M,'Consulta1'!$D:$D,duracion!D$2,'Consulta1'!$S:$S,duracion!$B$3)</f>
        <v>13099173766.513887</v>
      </c>
      <c r="E3">
        <f>SUMIFS('Consulta1'!$M:$M,'Consulta1'!$D:$D,duracion!E$2,'Consulta1'!$S:$S,duracion!$B$3)</f>
        <v>162263345.96195403</v>
      </c>
      <c r="F3">
        <f>SUMIFS('Consulta1'!$M:$M,'Consulta1'!$D:$D,duracion!F$2,'Consulta1'!$S:$S,duracion!$B$3)</f>
        <v>2487391550.2824731</v>
      </c>
      <c r="G3">
        <f>SUMIFS('Consulta1'!$M:$M,'Consulta1'!$D:$D,duracion!G$2,'Consulta1'!$S:$S,duracion!$B$3)</f>
        <v>261719090.91661403</v>
      </c>
      <c r="H3">
        <f>SUMIFS('Consulta1'!$M:$M,'Consulta1'!$D:$D,duracion!H$2,'Consulta1'!$S:$S,duracion!$B$3)</f>
        <v>2094655671.7451949</v>
      </c>
      <c r="I3">
        <f>SUMIFS('Consulta1'!$M:$M,'Consulta1'!$D:$D,duracion!I$2,'Consulta1'!$S:$S,duracion!$B$3)</f>
        <v>376612577.084683</v>
      </c>
      <c r="J3">
        <f>SUMIFS('Consulta1'!$M:$M,'Consulta1'!$D:$D,duracion!J$2,'Consulta1'!$S:$S,duracion!$B$3)</f>
        <v>310952983.17163604</v>
      </c>
      <c r="K3">
        <f>SUMIFS('Consulta1'!$M:$M,'Consulta1'!$D:$D,duracion!K$2,'Consulta1'!$S:$S,duracion!$B$3)</f>
        <v>197310763.297472</v>
      </c>
      <c r="L3">
        <f>SUMIFS('Consulta1'!$M:$M,'Consulta1'!$D:$D,duracion!L$2,'Consulta1'!$S:$S,duracion!$B$3)</f>
        <v>930721.18436899991</v>
      </c>
      <c r="M3">
        <f>SUMIFS('Consulta1'!$M:$M,'Consulta1'!$D:$D,duracion!M$2,'Consulta1'!$S:$S,duracion!$B$3)</f>
        <v>769315.86872699996</v>
      </c>
      <c r="N3">
        <f>SUMIFS('Consulta1'!$M:$M,'Consulta1'!$D:$D,duracion!N$2,'Consulta1'!$S:$S,duracion!$B$3)</f>
        <v>1056245332.367829</v>
      </c>
      <c r="O3">
        <f>SUMIFS('Consulta1'!$M:$M,'Consulta1'!$D:$D,duracion!O$2,'Consulta1'!$S:$S,duracion!$B$3)</f>
        <v>317378712.74981797</v>
      </c>
      <c r="P3">
        <f>SUMIFS('Consulta1'!$M:$M,'Consulta1'!$D:$D,duracion!P$2,'Consulta1'!$S:$S,duracion!$B$3)</f>
        <v>648855267.09921408</v>
      </c>
      <c r="Q3">
        <f>SUMIFS('Consulta1'!$M:$M,'Consulta1'!$D:$D,duracion!Q$2,'Consulta1'!$S:$S,duracion!$B$3)</f>
        <v>362041961.99458104</v>
      </c>
      <c r="R3">
        <f>SUMIFS('Consulta1'!$M:$M,'Consulta1'!$D:$D,duracion!R$2,'Consulta1'!$S:$S,duracion!$B$3)</f>
        <v>1347736506.5566931</v>
      </c>
      <c r="S3">
        <f>SUMIFS('Consulta1'!$M:$M,'Consulta1'!$D:$D,duracion!S$2,'Consulta1'!$S:$S,duracion!$B$3)</f>
        <v>60430283.31827601</v>
      </c>
      <c r="T3">
        <f>SUMIFS('Consulta1'!$M:$M,'Consulta1'!$D:$D,duracion!T$2,'Consulta1'!$S:$S,duracion!$B$3)</f>
        <v>391731403.92579901</v>
      </c>
      <c r="U3">
        <f>SUMIFS('Consulta1'!$M:$M,'Consulta1'!$D:$D,duracion!U$2,'Consulta1'!$S:$S,duracion!$B$3)</f>
        <v>696318141.26252699</v>
      </c>
      <c r="V3">
        <f>SUMIFS('Consulta1'!$M:$M,'Consulta1'!$D:$D,duracion!V$2,'Consulta1'!$S:$S,duracion!$B$3)</f>
        <v>197618313.26540598</v>
      </c>
      <c r="W3">
        <f>SUMIFS('Consulta1'!$M:$M,'Consulta1'!$D:$D,duracion!W$2,'Consulta1'!$S:$S,duracion!$B$3)</f>
        <v>1195914637.3335738</v>
      </c>
      <c r="X3">
        <f>SUMIFS('Consulta1'!$M:$M,'Consulta1'!$D:$D,duracion!X$2,'Consulta1'!$S:$S,duracion!$B$3)</f>
        <v>1293984.4720600003</v>
      </c>
      <c r="Y3">
        <f>SUMIFS('Consulta1'!$M:$M,'Consulta1'!$D:$D,duracion!Y$2,'Consulta1'!$S:$S,duracion!$B$3)</f>
        <v>413464956.81349397</v>
      </c>
      <c r="Z3">
        <f>SUMIFS('Consulta1'!$M:$M,'Consulta1'!$D:$D,duracion!Z$2,'Consulta1'!$S:$S,duracion!$B$3)</f>
        <v>107126132.49883901</v>
      </c>
    </row>
    <row r="4" spans="2:27" x14ac:dyDescent="0.25">
      <c r="B4" t="str">
        <v>Entre 91 y 120 días</v>
      </c>
      <c r="C4">
        <f>SUMIFS('Consulta1'!$M:$M,'Consulta1'!$D:$D,duracion!C$2,'Consulta1'!$S:$S,duracion!$B4)</f>
        <v>20763517.738000002</v>
      </c>
      <c r="D4">
        <f>SUMIFS('Consulta1'!$M:$M,'Consulta1'!$D:$D,duracion!D$2,'Consulta1'!$S:$S,duracion!$B4)</f>
        <v>4266232118.7889876</v>
      </c>
      <c r="E4">
        <f>SUMIFS('Consulta1'!$M:$M,'Consulta1'!$D:$D,duracion!E$2,'Consulta1'!$S:$S,duracion!$B4)</f>
        <v>344308183.64631599</v>
      </c>
      <c r="F4">
        <f>SUMIFS('Consulta1'!$M:$M,'Consulta1'!$D:$D,duracion!F$2,'Consulta1'!$S:$S,duracion!$B4)</f>
        <v>632492323.694677</v>
      </c>
      <c r="G4">
        <f>SUMIFS('Consulta1'!$M:$M,'Consulta1'!$D:$D,duracion!G$2,'Consulta1'!$S:$S,duracion!$B4)</f>
        <v>126101712.996314</v>
      </c>
      <c r="H4">
        <f>SUMIFS('Consulta1'!$M:$M,'Consulta1'!$D:$D,duracion!H$2,'Consulta1'!$S:$S,duracion!$B4)</f>
        <v>45288040.065926</v>
      </c>
      <c r="I4">
        <f>SUMIFS('Consulta1'!$M:$M,'Consulta1'!$D:$D,duracion!I$2,'Consulta1'!$S:$S,duracion!$B4)</f>
        <v>250700972.675872</v>
      </c>
      <c r="J4">
        <f>SUMIFS('Consulta1'!$M:$M,'Consulta1'!$D:$D,duracion!J$2,'Consulta1'!$S:$S,duracion!$B4)</f>
        <v>70340337.470613003</v>
      </c>
      <c r="K4">
        <f>SUMIFS('Consulta1'!$M:$M,'Consulta1'!$D:$D,duracion!K$2,'Consulta1'!$S:$S,duracion!$B4)</f>
        <v>580554413.71005499</v>
      </c>
      <c r="L4">
        <f>SUMIFS('Consulta1'!$M:$M,'Consulta1'!$D:$D,duracion!L$2,'Consulta1'!$S:$S,duracion!$B4)</f>
        <v>384600.859688</v>
      </c>
      <c r="M4">
        <f>SUMIFS('Consulta1'!$M:$M,'Consulta1'!$D:$D,duracion!M$2,'Consulta1'!$S:$S,duracion!$B4)</f>
        <v>603000</v>
      </c>
      <c r="N4">
        <f>SUMIFS('Consulta1'!$M:$M,'Consulta1'!$D:$D,duracion!N$2,'Consulta1'!$S:$S,duracion!$B4)</f>
        <v>0</v>
      </c>
      <c r="O4">
        <f>SUMIFS('Consulta1'!$M:$M,'Consulta1'!$D:$D,duracion!O$2,'Consulta1'!$S:$S,duracion!$B4)</f>
        <v>2139541.9234119998</v>
      </c>
      <c r="P4">
        <f>SUMIFS('Consulta1'!$M:$M,'Consulta1'!$D:$D,duracion!P$2,'Consulta1'!$S:$S,duracion!$B4)</f>
        <v>90068564.933666006</v>
      </c>
      <c r="Q4">
        <f>SUMIFS('Consulta1'!$M:$M,'Consulta1'!$D:$D,duracion!Q$2,'Consulta1'!$S:$S,duracion!$B4)</f>
        <v>18823891.916531</v>
      </c>
      <c r="R4">
        <f>SUMIFS('Consulta1'!$M:$M,'Consulta1'!$D:$D,duracion!R$2,'Consulta1'!$S:$S,duracion!$B4)</f>
        <v>183178346.54396701</v>
      </c>
      <c r="S4">
        <f>SUMIFS('Consulta1'!$M:$M,'Consulta1'!$D:$D,duracion!S$2,'Consulta1'!$S:$S,duracion!$B4)</f>
        <v>351137851.42409605</v>
      </c>
      <c r="T4">
        <f>SUMIFS('Consulta1'!$M:$M,'Consulta1'!$D:$D,duracion!T$2,'Consulta1'!$S:$S,duracion!$B4)</f>
        <v>21640246.279842</v>
      </c>
      <c r="U4">
        <f>SUMIFS('Consulta1'!$M:$M,'Consulta1'!$D:$D,duracion!U$2,'Consulta1'!$S:$S,duracion!$B4)</f>
        <v>70495193.462735996</v>
      </c>
      <c r="V4">
        <f>SUMIFS('Consulta1'!$M:$M,'Consulta1'!$D:$D,duracion!V$2,'Consulta1'!$S:$S,duracion!$B4)</f>
        <v>6130488.1140679996</v>
      </c>
      <c r="W4">
        <f>SUMIFS('Consulta1'!$M:$M,'Consulta1'!$D:$D,duracion!W$2,'Consulta1'!$S:$S,duracion!$B4)</f>
        <v>305167008.72239703</v>
      </c>
      <c r="X4">
        <f>SUMIFS('Consulta1'!$M:$M,'Consulta1'!$D:$D,duracion!X$2,'Consulta1'!$S:$S,duracion!$B4)</f>
        <v>452250</v>
      </c>
      <c r="Y4">
        <f>SUMIFS('Consulta1'!$M:$M,'Consulta1'!$D:$D,duracion!Y$2,'Consulta1'!$S:$S,duracion!$B4)</f>
        <v>16944149.040537</v>
      </c>
      <c r="Z4">
        <f>SUMIFS('Consulta1'!$M:$M,'Consulta1'!$D:$D,duracion!Z$2,'Consulta1'!$S:$S,duracion!$B4)</f>
        <v>0</v>
      </c>
    </row>
    <row r="5" spans="2:27" x14ac:dyDescent="0.25">
      <c r="B5" t="str">
        <v>Hasta 30 días</v>
      </c>
      <c r="C5">
        <f>SUMIFS('Consulta1'!$M:$M,'Consulta1'!$D:$D,duracion!C$2,'Consulta1'!$S:$S,duracion!$B5)</f>
        <v>148277400.39370599</v>
      </c>
      <c r="D5">
        <f>SUMIFS('Consulta1'!$M:$M,'Consulta1'!$D:$D,duracion!D$2,'Consulta1'!$S:$S,duracion!$B5)</f>
        <v>7297744373.2539797</v>
      </c>
      <c r="E5">
        <f>SUMIFS('Consulta1'!$M:$M,'Consulta1'!$D:$D,duracion!E$2,'Consulta1'!$S:$S,duracion!$B5)</f>
        <v>954051108.46978509</v>
      </c>
      <c r="F5">
        <f>SUMIFS('Consulta1'!$M:$M,'Consulta1'!$D:$D,duracion!F$2,'Consulta1'!$S:$S,duracion!$B5)</f>
        <v>1509739964.6532161</v>
      </c>
      <c r="G5">
        <f>SUMIFS('Consulta1'!$M:$M,'Consulta1'!$D:$D,duracion!G$2,'Consulta1'!$S:$S,duracion!$B5)</f>
        <v>637104151.34923398</v>
      </c>
      <c r="H5">
        <f>SUMIFS('Consulta1'!$M:$M,'Consulta1'!$D:$D,duracion!H$2,'Consulta1'!$S:$S,duracion!$B5)</f>
        <v>15529959.421558</v>
      </c>
      <c r="I5">
        <f>SUMIFS('Consulta1'!$M:$M,'Consulta1'!$D:$D,duracion!I$2,'Consulta1'!$S:$S,duracion!$B5)</f>
        <v>179855904.88981903</v>
      </c>
      <c r="J5">
        <f>SUMIFS('Consulta1'!$M:$M,'Consulta1'!$D:$D,duracion!J$2,'Consulta1'!$S:$S,duracion!$B5)</f>
        <v>147291456.72845101</v>
      </c>
      <c r="K5">
        <f>SUMIFS('Consulta1'!$M:$M,'Consulta1'!$D:$D,duracion!K$2,'Consulta1'!$S:$S,duracion!$B5)</f>
        <v>330021991.2763871</v>
      </c>
      <c r="L5">
        <f>SUMIFS('Consulta1'!$M:$M,'Consulta1'!$D:$D,duracion!L$2,'Consulta1'!$S:$S,duracion!$B5)</f>
        <v>505806.640365</v>
      </c>
      <c r="M5">
        <f>SUMIFS('Consulta1'!$M:$M,'Consulta1'!$D:$D,duracion!M$2,'Consulta1'!$S:$S,duracion!$B5)</f>
        <v>712814.06216900004</v>
      </c>
      <c r="N5">
        <f>SUMIFS('Consulta1'!$M:$M,'Consulta1'!$D:$D,duracion!N$2,'Consulta1'!$S:$S,duracion!$B5)</f>
        <v>8448055.3507739995</v>
      </c>
      <c r="O5">
        <f>SUMIFS('Consulta1'!$M:$M,'Consulta1'!$D:$D,duracion!O$2,'Consulta1'!$S:$S,duracion!$B5)</f>
        <v>358828054.76826298</v>
      </c>
      <c r="P5">
        <f>SUMIFS('Consulta1'!$M:$M,'Consulta1'!$D:$D,duracion!P$2,'Consulta1'!$S:$S,duracion!$B5)</f>
        <v>2635802186.279613</v>
      </c>
      <c r="Q5">
        <f>SUMIFS('Consulta1'!$M:$M,'Consulta1'!$D:$D,duracion!Q$2,'Consulta1'!$S:$S,duracion!$B5)</f>
        <v>543114237.05149102</v>
      </c>
      <c r="R5">
        <f>SUMIFS('Consulta1'!$M:$M,'Consulta1'!$D:$D,duracion!R$2,'Consulta1'!$S:$S,duracion!$B5)</f>
        <v>944464758.7923938</v>
      </c>
      <c r="S5">
        <f>SUMIFS('Consulta1'!$M:$M,'Consulta1'!$D:$D,duracion!S$2,'Consulta1'!$S:$S,duracion!$B5)</f>
        <v>65192349.846566007</v>
      </c>
      <c r="T5">
        <f>SUMIFS('Consulta1'!$M:$M,'Consulta1'!$D:$D,duracion!T$2,'Consulta1'!$S:$S,duracion!$B5)</f>
        <v>657645585.53490591</v>
      </c>
      <c r="U5">
        <f>SUMIFS('Consulta1'!$M:$M,'Consulta1'!$D:$D,duracion!U$2,'Consulta1'!$S:$S,duracion!$B5)</f>
        <v>820623520.58624709</v>
      </c>
      <c r="V5">
        <f>SUMIFS('Consulta1'!$M:$M,'Consulta1'!$D:$D,duracion!V$2,'Consulta1'!$S:$S,duracion!$B5)</f>
        <v>119105630.25867999</v>
      </c>
      <c r="W5">
        <f>SUMIFS('Consulta1'!$M:$M,'Consulta1'!$D:$D,duracion!W$2,'Consulta1'!$S:$S,duracion!$B5)</f>
        <v>1085968009.1803598</v>
      </c>
      <c r="X5">
        <f>SUMIFS('Consulta1'!$M:$M,'Consulta1'!$D:$D,duracion!X$2,'Consulta1'!$S:$S,duracion!$B5)</f>
        <v>372204.632522</v>
      </c>
      <c r="Y5">
        <f>SUMIFS('Consulta1'!$M:$M,'Consulta1'!$D:$D,duracion!Y$2,'Consulta1'!$S:$S,duracion!$B5)</f>
        <v>632241358.44464993</v>
      </c>
      <c r="Z5">
        <f>SUMIFS('Consulta1'!$M:$M,'Consulta1'!$D:$D,duracion!Z$2,'Consulta1'!$S:$S,duracion!$B5)</f>
        <v>110514210.372776</v>
      </c>
    </row>
    <row r="6" spans="2:27" x14ac:dyDescent="0.25">
      <c r="B6" t="str">
        <v>Entre 1 y 2 años</v>
      </c>
      <c r="C6">
        <f>SUMIFS('Consulta1'!$M:$M,'Consulta1'!$D:$D,duracion!C$2,'Consulta1'!$S:$S,duracion!$B6)</f>
        <v>0</v>
      </c>
      <c r="D6">
        <f>SUMIFS('Consulta1'!$M:$M,'Consulta1'!$D:$D,duracion!D$2,'Consulta1'!$S:$S,duracion!$B6)</f>
        <v>0</v>
      </c>
      <c r="E6">
        <f>SUMIFS('Consulta1'!$M:$M,'Consulta1'!$D:$D,duracion!E$2,'Consulta1'!$S:$S,duracion!$B6)</f>
        <v>0</v>
      </c>
      <c r="F6">
        <f>SUMIFS('Consulta1'!$M:$M,'Consulta1'!$D:$D,duracion!F$2,'Consulta1'!$S:$S,duracion!$B6)</f>
        <v>0</v>
      </c>
      <c r="G6">
        <f>SUMIFS('Consulta1'!$M:$M,'Consulta1'!$D:$D,duracion!G$2,'Consulta1'!$S:$S,duracion!$B6)</f>
        <v>0</v>
      </c>
      <c r="H6">
        <f>SUMIFS('Consulta1'!$M:$M,'Consulta1'!$D:$D,duracion!H$2,'Consulta1'!$S:$S,duracion!$B6)</f>
        <v>0</v>
      </c>
      <c r="I6">
        <f>SUMIFS('Consulta1'!$M:$M,'Consulta1'!$D:$D,duracion!I$2,'Consulta1'!$S:$S,duracion!$B6)</f>
        <v>0</v>
      </c>
      <c r="J6">
        <f>SUMIFS('Consulta1'!$M:$M,'Consulta1'!$D:$D,duracion!J$2,'Consulta1'!$S:$S,duracion!$B6)</f>
        <v>0</v>
      </c>
      <c r="K6">
        <f>SUMIFS('Consulta1'!$M:$M,'Consulta1'!$D:$D,duracion!K$2,'Consulta1'!$S:$S,duracion!$B6)</f>
        <v>0</v>
      </c>
      <c r="L6">
        <f>SUMIFS('Consulta1'!$M:$M,'Consulta1'!$D:$D,duracion!L$2,'Consulta1'!$S:$S,duracion!$B6)</f>
        <v>824377.07945299998</v>
      </c>
      <c r="M6">
        <f>SUMIFS('Consulta1'!$M:$M,'Consulta1'!$D:$D,duracion!M$2,'Consulta1'!$S:$S,duracion!$B6)</f>
        <v>591602.40595500008</v>
      </c>
      <c r="N6">
        <f>SUMIFS('Consulta1'!$M:$M,'Consulta1'!$D:$D,duracion!N$2,'Consulta1'!$S:$S,duracion!$B6)</f>
        <v>0</v>
      </c>
      <c r="O6">
        <f>SUMIFS('Consulta1'!$M:$M,'Consulta1'!$D:$D,duracion!O$2,'Consulta1'!$S:$S,duracion!$B6)</f>
        <v>0</v>
      </c>
      <c r="P6">
        <f>SUMIFS('Consulta1'!$M:$M,'Consulta1'!$D:$D,duracion!P$2,'Consulta1'!$S:$S,duracion!$B6)</f>
        <v>0</v>
      </c>
      <c r="Q6">
        <f>SUMIFS('Consulta1'!$M:$M,'Consulta1'!$D:$D,duracion!Q$2,'Consulta1'!$S:$S,duracion!$B6)</f>
        <v>0</v>
      </c>
      <c r="R6">
        <f>SUMIFS('Consulta1'!$M:$M,'Consulta1'!$D:$D,duracion!R$2,'Consulta1'!$S:$S,duracion!$B6)</f>
        <v>0</v>
      </c>
      <c r="S6">
        <f>SUMIFS('Consulta1'!$M:$M,'Consulta1'!$D:$D,duracion!S$2,'Consulta1'!$S:$S,duracion!$B6)</f>
        <v>0</v>
      </c>
      <c r="T6">
        <f>SUMIFS('Consulta1'!$M:$M,'Consulta1'!$D:$D,duracion!T$2,'Consulta1'!$S:$S,duracion!$B6)</f>
        <v>0</v>
      </c>
      <c r="U6">
        <f>SUMIFS('Consulta1'!$M:$M,'Consulta1'!$D:$D,duracion!U$2,'Consulta1'!$S:$S,duracion!$B6)</f>
        <v>0</v>
      </c>
      <c r="V6">
        <f>SUMIFS('Consulta1'!$M:$M,'Consulta1'!$D:$D,duracion!V$2,'Consulta1'!$S:$S,duracion!$B6)</f>
        <v>0</v>
      </c>
      <c r="W6">
        <f>SUMIFS('Consulta1'!$M:$M,'Consulta1'!$D:$D,duracion!W$2,'Consulta1'!$S:$S,duracion!$B6)</f>
        <v>0</v>
      </c>
      <c r="X6">
        <f>SUMIFS('Consulta1'!$M:$M,'Consulta1'!$D:$D,duracion!X$2,'Consulta1'!$S:$S,duracion!$B6)</f>
        <v>0</v>
      </c>
      <c r="Y6">
        <f>SUMIFS('Consulta1'!$M:$M,'Consulta1'!$D:$D,duracion!Y$2,'Consulta1'!$S:$S,duracion!$B6)</f>
        <v>0</v>
      </c>
      <c r="Z6">
        <f>SUMIFS('Consulta1'!$M:$M,'Consulta1'!$D:$D,duracion!Z$2,'Consulta1'!$S:$S,duracion!$B6)</f>
        <v>0</v>
      </c>
    </row>
    <row r="7" spans="2:27" x14ac:dyDescent="0.25">
      <c r="B7">
        <v>0</v>
      </c>
      <c r="C7">
        <f>SUMIFS('Consulta1'!$M:$M,'Consulta1'!$D:$D,duracion!C$2,'Consulta1'!$S:$S,duracion!$B7)</f>
        <v>0</v>
      </c>
    </row>
    <row r="9" spans="2:27" x14ac:dyDescent="0.25">
      <c r="B9" t="s">
        <v>1380</v>
      </c>
      <c r="C9">
        <f>SUM(C3:C7)</f>
        <v>234765562.714095</v>
      </c>
      <c r="D9">
        <f t="shared" ref="D9:Z9" si="0">SUM(D3:D7)</f>
        <v>24663150258.556854</v>
      </c>
      <c r="E9">
        <f t="shared" si="0"/>
        <v>1460622638.0780551</v>
      </c>
      <c r="F9">
        <f t="shared" si="0"/>
        <v>4629623838.6303663</v>
      </c>
      <c r="G9">
        <f t="shared" si="0"/>
        <v>1024924955.262162</v>
      </c>
      <c r="H9">
        <f t="shared" si="0"/>
        <v>2155473671.2326789</v>
      </c>
      <c r="I9">
        <f t="shared" si="0"/>
        <v>807169454.65037405</v>
      </c>
      <c r="J9">
        <f t="shared" si="0"/>
        <v>528584777.37070006</v>
      </c>
      <c r="K9">
        <f t="shared" si="0"/>
        <v>1107887168.2839141</v>
      </c>
      <c r="L9">
        <f t="shared" si="0"/>
        <v>2645505.7638749997</v>
      </c>
      <c r="M9">
        <f t="shared" si="0"/>
        <v>2676732.3368509999</v>
      </c>
      <c r="N9">
        <f t="shared" si="0"/>
        <v>1064693387.718603</v>
      </c>
      <c r="O9">
        <f t="shared" si="0"/>
        <v>678346309.44149303</v>
      </c>
      <c r="P9">
        <f t="shared" si="0"/>
        <v>3374726018.3124933</v>
      </c>
      <c r="Q9">
        <f t="shared" si="0"/>
        <v>923980090.96260309</v>
      </c>
      <c r="R9">
        <f t="shared" si="0"/>
        <v>2475379611.893054</v>
      </c>
      <c r="S9">
        <f t="shared" si="0"/>
        <v>476760484.58893806</v>
      </c>
      <c r="T9">
        <f t="shared" si="0"/>
        <v>1071017235.7405469</v>
      </c>
      <c r="U9">
        <f t="shared" si="0"/>
        <v>1587436855.3115101</v>
      </c>
      <c r="V9">
        <f t="shared" si="0"/>
        <v>322854431.63815397</v>
      </c>
      <c r="W9">
        <f t="shared" si="0"/>
        <v>2587049655.236331</v>
      </c>
      <c r="X9">
        <f t="shared" si="0"/>
        <v>2118439.1045820005</v>
      </c>
      <c r="Y9">
        <f t="shared" si="0"/>
        <v>1062650464.2986809</v>
      </c>
      <c r="Z9">
        <f t="shared" si="0"/>
        <v>217640342.87161499</v>
      </c>
    </row>
    <row r="10" spans="2:27" x14ac:dyDescent="0.25">
      <c r="C10">
        <v>234765562.714095</v>
      </c>
      <c r="D10">
        <v>24663150258.556858</v>
      </c>
      <c r="E10">
        <v>1460622638.0780549</v>
      </c>
      <c r="F10">
        <v>4629623838.6303663</v>
      </c>
      <c r="G10">
        <v>1024924955.2621619</v>
      </c>
      <c r="H10">
        <v>2155473671.2326789</v>
      </c>
      <c r="I10">
        <v>807169454.65037405</v>
      </c>
      <c r="J10">
        <v>528584777.37070006</v>
      </c>
      <c r="K10">
        <v>1107887168.2839136</v>
      </c>
      <c r="L10">
        <v>2645505.7638750002</v>
      </c>
      <c r="M10">
        <v>2676732.3368509999</v>
      </c>
      <c r="N10">
        <v>1064693387.718603</v>
      </c>
      <c r="O10">
        <v>678346309.44149303</v>
      </c>
      <c r="P10">
        <v>3374726018.3124928</v>
      </c>
      <c r="Q10">
        <v>923980090.96260297</v>
      </c>
      <c r="R10">
        <v>2475379611.893054</v>
      </c>
      <c r="S10">
        <v>476760484.588938</v>
      </c>
      <c r="T10">
        <v>1071017235.7405468</v>
      </c>
      <c r="U10">
        <v>1587436855.3115098</v>
      </c>
      <c r="V10">
        <v>322854431.63815403</v>
      </c>
      <c r="W10">
        <v>2587049655.2363319</v>
      </c>
      <c r="X10">
        <v>2118439.1045820001</v>
      </c>
      <c r="Y10">
        <v>1062650464.298681</v>
      </c>
      <c r="Z10">
        <v>217640342.87161496</v>
      </c>
    </row>
    <row r="13" spans="2:27" x14ac:dyDescent="0.25">
      <c r="B13" t="str" cm="1">
        <f t="array" ref="B13:B18">_xlfn.UNIQUE('Consulta1'!S:S)</f>
        <v>TRAMO</v>
      </c>
      <c r="C13" t="s">
        <v>18</v>
      </c>
      <c r="D13" t="s">
        <v>35</v>
      </c>
      <c r="E13" t="s">
        <v>56</v>
      </c>
      <c r="F13" t="s">
        <v>60</v>
      </c>
      <c r="G13" t="s">
        <v>65</v>
      </c>
      <c r="H13" t="s">
        <v>69</v>
      </c>
      <c r="I13" t="s">
        <v>75</v>
      </c>
      <c r="J13" t="s">
        <v>79</v>
      </c>
      <c r="K13" t="s">
        <v>82</v>
      </c>
      <c r="L13" t="s">
        <v>86</v>
      </c>
      <c r="M13" t="s">
        <v>96</v>
      </c>
      <c r="N13" t="s">
        <v>99</v>
      </c>
      <c r="O13" t="s">
        <v>102</v>
      </c>
      <c r="P13" t="s">
        <v>104</v>
      </c>
      <c r="Q13" t="s">
        <v>108</v>
      </c>
      <c r="R13" t="s">
        <v>111</v>
      </c>
      <c r="S13" t="s">
        <v>114</v>
      </c>
      <c r="T13" t="s">
        <v>117</v>
      </c>
      <c r="U13" t="s">
        <v>122</v>
      </c>
      <c r="V13" t="s">
        <v>1324</v>
      </c>
      <c r="W13" t="s">
        <v>124</v>
      </c>
      <c r="X13" t="s">
        <v>127</v>
      </c>
      <c r="Y13" t="s">
        <v>132</v>
      </c>
      <c r="Z13" t="s">
        <v>135</v>
      </c>
      <c r="AA13" t="s">
        <v>1381</v>
      </c>
    </row>
    <row r="14" spans="2:27" x14ac:dyDescent="0.25">
      <c r="B14" t="str">
        <v>Entre 31 y 90 días</v>
      </c>
      <c r="C14" s="9">
        <f>_xlfn.PERCENTOF(C3,C$9)</f>
        <v>0.27995862690658158</v>
      </c>
      <c r="D14" s="9">
        <f t="shared" ref="D14:Z14" si="1">_xlfn.PERCENTOF(D3,D$9)</f>
        <v>0.53112330051872192</v>
      </c>
      <c r="E14" s="9">
        <f t="shared" si="1"/>
        <v>0.11109190131098237</v>
      </c>
      <c r="F14" s="9">
        <f t="shared" si="1"/>
        <v>0.53727724691739664</v>
      </c>
      <c r="G14" s="9">
        <f t="shared" si="1"/>
        <v>0.25535439406846117</v>
      </c>
      <c r="H14" s="9">
        <f t="shared" si="1"/>
        <v>0.97178439231284919</v>
      </c>
      <c r="I14" s="9">
        <f t="shared" si="1"/>
        <v>0.46658427783025186</v>
      </c>
      <c r="J14" s="9">
        <f t="shared" si="1"/>
        <v>0.58827457105061998</v>
      </c>
      <c r="K14" s="9">
        <f t="shared" si="1"/>
        <v>0.17809644244106626</v>
      </c>
      <c r="L14" s="9">
        <f t="shared" si="1"/>
        <v>0.35181219299470651</v>
      </c>
      <c r="M14" s="9">
        <f t="shared" si="1"/>
        <v>0.28740859074166886</v>
      </c>
      <c r="N14" s="9">
        <f t="shared" si="1"/>
        <v>0.99206526926134453</v>
      </c>
      <c r="O14" s="9">
        <f t="shared" si="1"/>
        <v>0.46787121612134558</v>
      </c>
      <c r="P14" s="9">
        <f t="shared" si="1"/>
        <v>0.1922690208266653</v>
      </c>
      <c r="Q14" s="9">
        <f t="shared" si="1"/>
        <v>0.39182874775733045</v>
      </c>
      <c r="R14" s="9">
        <f t="shared" si="1"/>
        <v>0.54445649470547575</v>
      </c>
      <c r="S14" s="9">
        <f t="shared" si="1"/>
        <v>0.12675187074360594</v>
      </c>
      <c r="T14" s="9">
        <f t="shared" si="1"/>
        <v>0.36575639574552621</v>
      </c>
      <c r="U14" s="9">
        <f t="shared" si="1"/>
        <v>0.43864304834089624</v>
      </c>
      <c r="V14" s="9">
        <f t="shared" si="1"/>
        <v>0.61209726086984906</v>
      </c>
      <c r="W14" s="9">
        <f t="shared" si="1"/>
        <v>0.46226968814184788</v>
      </c>
      <c r="X14" s="9">
        <f t="shared" si="1"/>
        <v>0.61081976312711739</v>
      </c>
      <c r="Y14" s="9">
        <f t="shared" si="1"/>
        <v>0.38908838861362477</v>
      </c>
      <c r="Z14" s="9">
        <f t="shared" si="1"/>
        <v>0.49221633767610906</v>
      </c>
    </row>
    <row r="15" spans="2:27" x14ac:dyDescent="0.25">
      <c r="B15" t="str">
        <v>Entre 91 y 120 días</v>
      </c>
      <c r="C15" s="9">
        <f t="shared" ref="C15:Z15" si="2">_xlfn.PERCENTOF(C4,C$9)</f>
        <v>8.8443626475517095E-2</v>
      </c>
      <c r="D15" s="9">
        <f t="shared" si="2"/>
        <v>0.17298001569401389</v>
      </c>
      <c r="E15" s="9">
        <f t="shared" si="2"/>
        <v>0.2357269938656916</v>
      </c>
      <c r="F15" s="9">
        <f t="shared" si="2"/>
        <v>0.13661851280811496</v>
      </c>
      <c r="G15" s="9">
        <f t="shared" si="2"/>
        <v>0.12303506939594312</v>
      </c>
      <c r="H15" s="9">
        <f t="shared" si="2"/>
        <v>2.1010713640508789E-2</v>
      </c>
      <c r="I15" s="9">
        <f t="shared" si="2"/>
        <v>0.310592740138393</v>
      </c>
      <c r="J15" s="9">
        <f t="shared" si="2"/>
        <v>0.1330729534446711</v>
      </c>
      <c r="K15" s="9">
        <f t="shared" si="2"/>
        <v>0.52401944018299029</v>
      </c>
      <c r="L15" s="9">
        <f t="shared" si="2"/>
        <v>0.1453789535973857</v>
      </c>
      <c r="M15" s="9">
        <f t="shared" si="2"/>
        <v>0.22527467229293086</v>
      </c>
      <c r="N15" s="9">
        <f t="shared" si="2"/>
        <v>0</v>
      </c>
      <c r="O15" s="9">
        <f t="shared" si="2"/>
        <v>3.1540555224271239E-3</v>
      </c>
      <c r="P15" s="9">
        <f t="shared" si="2"/>
        <v>2.6689148821243902E-2</v>
      </c>
      <c r="Q15" s="9">
        <f t="shared" si="2"/>
        <v>2.0372616358995631E-2</v>
      </c>
      <c r="R15" s="9">
        <f t="shared" si="2"/>
        <v>7.4000103121105054E-2</v>
      </c>
      <c r="S15" s="9">
        <f t="shared" si="2"/>
        <v>0.73650787507451754</v>
      </c>
      <c r="T15" s="9">
        <f t="shared" si="2"/>
        <v>2.020532028588598E-2</v>
      </c>
      <c r="U15" s="9">
        <f t="shared" si="2"/>
        <v>4.4408187467023623E-2</v>
      </c>
      <c r="V15" s="9">
        <f t="shared" si="2"/>
        <v>1.8988396978050083E-2</v>
      </c>
      <c r="W15" s="9">
        <f t="shared" si="2"/>
        <v>0.11795947097680255</v>
      </c>
      <c r="X15" s="9">
        <f t="shared" si="2"/>
        <v>0.21348265287485602</v>
      </c>
      <c r="Y15" s="9">
        <f t="shared" si="2"/>
        <v>1.594517633954045E-2</v>
      </c>
      <c r="Z15" s="9">
        <f t="shared" si="2"/>
        <v>0</v>
      </c>
    </row>
    <row r="16" spans="2:27" x14ac:dyDescent="0.25">
      <c r="B16" t="str">
        <v>Hasta 30 días</v>
      </c>
      <c r="C16" s="9">
        <f t="shared" ref="C16:Z16" si="3">_xlfn.PERCENTOF(C5,C$9)</f>
        <v>0.63159774661790136</v>
      </c>
      <c r="D16" s="9">
        <f t="shared" si="3"/>
        <v>0.29589668378726414</v>
      </c>
      <c r="E16" s="9">
        <f t="shared" si="3"/>
        <v>0.65318110482332603</v>
      </c>
      <c r="F16" s="9">
        <f t="shared" si="3"/>
        <v>0.32610424027448837</v>
      </c>
      <c r="G16" s="9">
        <f t="shared" si="3"/>
        <v>0.62161053653559573</v>
      </c>
      <c r="H16" s="9">
        <f t="shared" si="3"/>
        <v>7.2048940466420451E-3</v>
      </c>
      <c r="I16" s="9">
        <f t="shared" si="3"/>
        <v>0.22282298203135514</v>
      </c>
      <c r="J16" s="9">
        <f t="shared" si="3"/>
        <v>0.2786524755047089</v>
      </c>
      <c r="K16" s="9">
        <f t="shared" si="3"/>
        <v>0.29788411737594345</v>
      </c>
      <c r="L16" s="9">
        <f t="shared" si="3"/>
        <v>0.19119468468823922</v>
      </c>
      <c r="M16" s="9">
        <f t="shared" si="3"/>
        <v>0.26630008998493254</v>
      </c>
      <c r="N16" s="9">
        <f t="shared" si="3"/>
        <v>7.9347307386554451E-3</v>
      </c>
      <c r="O16" s="9">
        <f t="shared" si="3"/>
        <v>0.52897472835622716</v>
      </c>
      <c r="P16" s="9">
        <f t="shared" si="3"/>
        <v>0.78104183035209074</v>
      </c>
      <c r="Q16" s="9">
        <f t="shared" si="3"/>
        <v>0.58779863588367387</v>
      </c>
      <c r="R16" s="9">
        <f t="shared" si="3"/>
        <v>0.3815434021734192</v>
      </c>
      <c r="S16" s="9">
        <f t="shared" si="3"/>
        <v>0.13674025418187652</v>
      </c>
      <c r="T16" s="9">
        <f t="shared" si="3"/>
        <v>0.61403828396858784</v>
      </c>
      <c r="U16" s="9">
        <f t="shared" si="3"/>
        <v>0.51694876419208013</v>
      </c>
      <c r="V16" s="9">
        <f t="shared" si="3"/>
        <v>0.36891434215210084</v>
      </c>
      <c r="W16" s="9">
        <f t="shared" si="3"/>
        <v>0.41977084088134947</v>
      </c>
      <c r="X16" s="9">
        <f t="shared" si="3"/>
        <v>0.17569758399802646</v>
      </c>
      <c r="Y16" s="9">
        <f t="shared" si="3"/>
        <v>0.59496643504683477</v>
      </c>
      <c r="Z16" s="9">
        <f t="shared" si="3"/>
        <v>0.50778366232389094</v>
      </c>
    </row>
    <row r="17" spans="2:26" x14ac:dyDescent="0.25">
      <c r="B17" t="str">
        <v>Entre 1 y 2 años</v>
      </c>
      <c r="C17" s="9">
        <f t="shared" ref="C17:Z17" si="4">_xlfn.PERCENTOF(C6,C$9)</f>
        <v>0</v>
      </c>
      <c r="D17" s="9">
        <f t="shared" si="4"/>
        <v>0</v>
      </c>
      <c r="E17" s="9">
        <f t="shared" si="4"/>
        <v>0</v>
      </c>
      <c r="F17" s="9">
        <f t="shared" si="4"/>
        <v>0</v>
      </c>
      <c r="G17" s="9">
        <f t="shared" si="4"/>
        <v>0</v>
      </c>
      <c r="H17" s="9">
        <f t="shared" si="4"/>
        <v>0</v>
      </c>
      <c r="I17" s="9">
        <f t="shared" si="4"/>
        <v>0</v>
      </c>
      <c r="J17" s="9">
        <f t="shared" si="4"/>
        <v>0</v>
      </c>
      <c r="K17" s="9">
        <f t="shared" si="4"/>
        <v>0</v>
      </c>
      <c r="L17" s="9">
        <f t="shared" si="4"/>
        <v>0.31161416871966863</v>
      </c>
      <c r="M17" s="9">
        <f t="shared" si="4"/>
        <v>0.2210166469804678</v>
      </c>
      <c r="N17" s="9">
        <f t="shared" si="4"/>
        <v>0</v>
      </c>
      <c r="O17" s="9">
        <f t="shared" si="4"/>
        <v>0</v>
      </c>
      <c r="P17" s="9">
        <f t="shared" si="4"/>
        <v>0</v>
      </c>
      <c r="Q17" s="9">
        <f t="shared" si="4"/>
        <v>0</v>
      </c>
      <c r="R17" s="9">
        <f t="shared" si="4"/>
        <v>0</v>
      </c>
      <c r="S17" s="9">
        <f t="shared" si="4"/>
        <v>0</v>
      </c>
      <c r="T17" s="9">
        <f t="shared" si="4"/>
        <v>0</v>
      </c>
      <c r="U17" s="9">
        <f t="shared" si="4"/>
        <v>0</v>
      </c>
      <c r="V17" s="9">
        <f t="shared" si="4"/>
        <v>0</v>
      </c>
      <c r="W17" s="9">
        <f t="shared" si="4"/>
        <v>0</v>
      </c>
      <c r="X17" s="9">
        <f t="shared" si="4"/>
        <v>0</v>
      </c>
      <c r="Y17" s="9">
        <f t="shared" si="4"/>
        <v>0</v>
      </c>
      <c r="Z17" s="9">
        <f t="shared" si="4"/>
        <v>0</v>
      </c>
    </row>
    <row r="18" spans="2:26" x14ac:dyDescent="0.25">
      <c r="B18">
        <v>0</v>
      </c>
      <c r="C18" s="9">
        <f t="shared" ref="C18" si="5">_xlfn.PERCENTOF(C7,C$9)</f>
        <v>0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20" spans="2:26" x14ac:dyDescent="0.25">
      <c r="B20" t="s">
        <v>1380</v>
      </c>
      <c r="C20" s="10">
        <f>SUM(C14:C18)</f>
        <v>1</v>
      </c>
      <c r="D20" s="10">
        <f t="shared" ref="D20:Z20" si="6">SUM(D14:D18)</f>
        <v>1</v>
      </c>
      <c r="E20" s="10">
        <f t="shared" si="6"/>
        <v>1</v>
      </c>
      <c r="F20" s="10">
        <f t="shared" si="6"/>
        <v>1</v>
      </c>
      <c r="G20" s="10">
        <f t="shared" si="6"/>
        <v>1</v>
      </c>
      <c r="H20" s="10">
        <f t="shared" si="6"/>
        <v>1</v>
      </c>
      <c r="I20" s="10">
        <f t="shared" si="6"/>
        <v>1</v>
      </c>
      <c r="J20" s="10">
        <f t="shared" si="6"/>
        <v>1</v>
      </c>
      <c r="K20" s="10">
        <f t="shared" si="6"/>
        <v>1</v>
      </c>
      <c r="L20" s="10">
        <f t="shared" si="6"/>
        <v>1</v>
      </c>
      <c r="M20" s="10">
        <f t="shared" si="6"/>
        <v>1</v>
      </c>
      <c r="N20" s="10">
        <f t="shared" si="6"/>
        <v>1</v>
      </c>
      <c r="O20" s="10">
        <f t="shared" si="6"/>
        <v>0.99999999999999989</v>
      </c>
      <c r="P20" s="10">
        <f t="shared" si="6"/>
        <v>1</v>
      </c>
      <c r="Q20" s="10">
        <f t="shared" si="6"/>
        <v>1</v>
      </c>
      <c r="R20" s="10">
        <f t="shared" si="6"/>
        <v>1</v>
      </c>
      <c r="S20" s="10">
        <f t="shared" si="6"/>
        <v>1</v>
      </c>
      <c r="T20" s="10">
        <f t="shared" si="6"/>
        <v>1</v>
      </c>
      <c r="U20" s="10">
        <f t="shared" si="6"/>
        <v>1</v>
      </c>
      <c r="V20" s="10">
        <f t="shared" si="6"/>
        <v>1</v>
      </c>
      <c r="W20" s="10">
        <f t="shared" si="6"/>
        <v>1</v>
      </c>
      <c r="X20" s="10">
        <f t="shared" si="6"/>
        <v>0.99999999999999989</v>
      </c>
      <c r="Y20" s="10">
        <f t="shared" si="6"/>
        <v>1</v>
      </c>
      <c r="Z20" s="10">
        <f t="shared" si="6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FDCD4-4EAF-40EC-BDD9-E18D60922731}">
  <dimension ref="B2:AA18"/>
  <sheetViews>
    <sheetView workbookViewId="0">
      <selection activeCell="C18" sqref="C18:Z18"/>
    </sheetView>
  </sheetViews>
  <sheetFormatPr baseColWidth="10" defaultRowHeight="15" x14ac:dyDescent="0.25"/>
  <cols>
    <col min="3" max="3" width="17.28515625" bestFit="1" customWidth="1"/>
    <col min="4" max="4" width="16.28515625" bestFit="1" customWidth="1"/>
    <col min="5" max="10" width="17.28515625" bestFit="1" customWidth="1"/>
    <col min="11" max="11" width="16.28515625" bestFit="1" customWidth="1"/>
    <col min="12" max="17" width="17.28515625" bestFit="1" customWidth="1"/>
    <col min="18" max="18" width="16.28515625" bestFit="1" customWidth="1"/>
    <col min="19" max="19" width="17.28515625" bestFit="1" customWidth="1"/>
    <col min="20" max="20" width="16.28515625" bestFit="1" customWidth="1"/>
    <col min="21" max="26" width="17.28515625" bestFit="1" customWidth="1"/>
  </cols>
  <sheetData>
    <row r="2" spans="2:27" x14ac:dyDescent="0.25">
      <c r="B2" t="str" cm="1">
        <f t="array" ref="B2:B6">_xlfn.UNIQUE('Consulta1'!F:F)</f>
        <v>COD_MONEDA</v>
      </c>
      <c r="C2" t="s">
        <v>18</v>
      </c>
      <c r="D2" t="s">
        <v>35</v>
      </c>
      <c r="E2" t="s">
        <v>56</v>
      </c>
      <c r="F2" t="s">
        <v>60</v>
      </c>
      <c r="G2" t="s">
        <v>65</v>
      </c>
      <c r="H2" t="s">
        <v>69</v>
      </c>
      <c r="I2" t="s">
        <v>75</v>
      </c>
      <c r="J2" t="s">
        <v>79</v>
      </c>
      <c r="K2" t="s">
        <v>82</v>
      </c>
      <c r="L2" t="s">
        <v>86</v>
      </c>
      <c r="M2" t="s">
        <v>96</v>
      </c>
      <c r="N2" t="s">
        <v>99</v>
      </c>
      <c r="O2" t="s">
        <v>102</v>
      </c>
      <c r="P2" t="s">
        <v>104</v>
      </c>
      <c r="Q2" t="s">
        <v>108</v>
      </c>
      <c r="R2" t="s">
        <v>111</v>
      </c>
      <c r="S2" t="s">
        <v>114</v>
      </c>
      <c r="T2" t="s">
        <v>117</v>
      </c>
      <c r="U2" t="s">
        <v>122</v>
      </c>
      <c r="V2" t="s">
        <v>1324</v>
      </c>
      <c r="W2" t="s">
        <v>124</v>
      </c>
      <c r="X2" t="s">
        <v>127</v>
      </c>
      <c r="Y2" t="s">
        <v>132</v>
      </c>
      <c r="Z2" t="s">
        <v>135</v>
      </c>
      <c r="AA2" t="s">
        <v>1381</v>
      </c>
    </row>
    <row r="3" spans="2:27" x14ac:dyDescent="0.25">
      <c r="B3" t="str">
        <v>CLP</v>
      </c>
      <c r="C3">
        <f>SUMIFS('Consulta1'!$M:$M,'Consulta1'!$D:$D,C$2,'Consulta1'!$F:$F,$B3)</f>
        <v>234765562.714095</v>
      </c>
      <c r="D3">
        <f>SUMIFS('Consulta1'!$M:$M,'Consulta1'!$D:$D,D$2,'Consulta1'!$F:$F,$B3)</f>
        <v>24663133873.239632</v>
      </c>
      <c r="E3">
        <f>SUMIFS('Consulta1'!$M:$M,'Consulta1'!$D:$D,E$2,'Consulta1'!$F:$F,$B3)</f>
        <v>1460622638.0780549</v>
      </c>
      <c r="F3">
        <f>SUMIFS('Consulta1'!$M:$M,'Consulta1'!$D:$D,F$2,'Consulta1'!$F:$F,$B3)</f>
        <v>4629623838.6303663</v>
      </c>
      <c r="G3">
        <f>SUMIFS('Consulta1'!$M:$M,'Consulta1'!$D:$D,G$2,'Consulta1'!$F:$F,$B3)</f>
        <v>1024924955.2621619</v>
      </c>
      <c r="H3">
        <f>SUMIFS('Consulta1'!$M:$M,'Consulta1'!$D:$D,H$2,'Consulta1'!$F:$F,$B3)</f>
        <v>2155473671.2326789</v>
      </c>
      <c r="I3">
        <f>SUMIFS('Consulta1'!$M:$M,'Consulta1'!$D:$D,I$2,'Consulta1'!$F:$F,$B3)</f>
        <v>807169454.65037405</v>
      </c>
      <c r="J3">
        <f>SUMIFS('Consulta1'!$M:$M,'Consulta1'!$D:$D,J$2,'Consulta1'!$F:$F,$B3)</f>
        <v>528584777.37070006</v>
      </c>
      <c r="K3">
        <f>SUMIFS('Consulta1'!$M:$M,'Consulta1'!$D:$D,K$2,'Consulta1'!$F:$F,$B3)</f>
        <v>1107887087.8802156</v>
      </c>
      <c r="L3">
        <f>SUMIFS('Consulta1'!$M:$M,'Consulta1'!$D:$D,L$2,'Consulta1'!$F:$F,$B3)</f>
        <v>0</v>
      </c>
      <c r="M3">
        <f>SUMIFS('Consulta1'!$M:$M,'Consulta1'!$D:$D,M$2,'Consulta1'!$F:$F,$B3)</f>
        <v>0</v>
      </c>
      <c r="N3">
        <f>SUMIFS('Consulta1'!$M:$M,'Consulta1'!$D:$D,N$2,'Consulta1'!$F:$F,$B3)</f>
        <v>1064693387.718603</v>
      </c>
      <c r="O3">
        <f>SUMIFS('Consulta1'!$M:$M,'Consulta1'!$D:$D,O$2,'Consulta1'!$F:$F,$B3)</f>
        <v>678346309.44149303</v>
      </c>
      <c r="P3">
        <f>SUMIFS('Consulta1'!$M:$M,'Consulta1'!$D:$D,P$2,'Consulta1'!$F:$F,$B3)</f>
        <v>3374726018.3124928</v>
      </c>
      <c r="Q3">
        <f>SUMIFS('Consulta1'!$M:$M,'Consulta1'!$D:$D,Q$2,'Consulta1'!$F:$F,$B3)</f>
        <v>923980090.96260297</v>
      </c>
      <c r="R3">
        <f>SUMIFS('Consulta1'!$M:$M,'Consulta1'!$D:$D,R$2,'Consulta1'!$F:$F,$B3)</f>
        <v>2475375648.7466979</v>
      </c>
      <c r="S3">
        <f>SUMIFS('Consulta1'!$M:$M,'Consulta1'!$D:$D,S$2,'Consulta1'!$F:$F,$B3)</f>
        <v>476760484.588938</v>
      </c>
      <c r="T3">
        <f>SUMIFS('Consulta1'!$M:$M,'Consulta1'!$D:$D,T$2,'Consulta1'!$F:$F,$B3)</f>
        <v>1071017115.0187348</v>
      </c>
      <c r="U3">
        <f>SUMIFS('Consulta1'!$M:$M,'Consulta1'!$D:$D,U$2,'Consulta1'!$F:$F,$B3)</f>
        <v>1587436855.3115098</v>
      </c>
      <c r="V3">
        <f>SUMIFS('Consulta1'!$M:$M,'Consulta1'!$D:$D,V$2,'Consulta1'!$F:$F,$B3)</f>
        <v>322854431.63815403</v>
      </c>
      <c r="W3">
        <f>SUMIFS('Consulta1'!$M:$M,'Consulta1'!$D:$D,W$2,'Consulta1'!$F:$F,$B3)</f>
        <v>2587049655.2363319</v>
      </c>
      <c r="X3">
        <f>SUMIFS('Consulta1'!$M:$M,'Consulta1'!$D:$D,X$2,'Consulta1'!$F:$F,$B3)</f>
        <v>0</v>
      </c>
      <c r="Y3">
        <f>SUMIFS('Consulta1'!$M:$M,'Consulta1'!$D:$D,Y$2,'Consulta1'!$F:$F,$B3)</f>
        <v>1062650464.298681</v>
      </c>
      <c r="Z3">
        <f>SUMIFS('Consulta1'!$M:$M,'Consulta1'!$D:$D,Z$2,'Consulta1'!$F:$F,$B3)</f>
        <v>217640342.87161496</v>
      </c>
    </row>
    <row r="4" spans="2:27" x14ac:dyDescent="0.25">
      <c r="B4" t="str">
        <v>UF</v>
      </c>
      <c r="C4">
        <f>SUMIFS('Consulta1'!$M:$M,'Consulta1'!$D:$D,C$2,'Consulta1'!$F:$F,$B4)</f>
        <v>0</v>
      </c>
      <c r="D4">
        <f>SUMIFS('Consulta1'!$M:$M,'Consulta1'!$D:$D,D$2,'Consulta1'!$F:$F,$B4)</f>
        <v>16385.317227</v>
      </c>
      <c r="E4">
        <f>SUMIFS('Consulta1'!$M:$M,'Consulta1'!$D:$D,E$2,'Consulta1'!$F:$F,$B4)</f>
        <v>0</v>
      </c>
      <c r="F4">
        <f>SUMIFS('Consulta1'!$M:$M,'Consulta1'!$D:$D,F$2,'Consulta1'!$F:$F,$B4)</f>
        <v>0</v>
      </c>
      <c r="G4">
        <f>SUMIFS('Consulta1'!$M:$M,'Consulta1'!$D:$D,G$2,'Consulta1'!$F:$F,$B4)</f>
        <v>0</v>
      </c>
      <c r="H4">
        <f>SUMIFS('Consulta1'!$M:$M,'Consulta1'!$D:$D,H$2,'Consulta1'!$F:$F,$B4)</f>
        <v>0</v>
      </c>
      <c r="I4">
        <f>SUMIFS('Consulta1'!$M:$M,'Consulta1'!$D:$D,I$2,'Consulta1'!$F:$F,$B4)</f>
        <v>0</v>
      </c>
      <c r="J4">
        <f>SUMIFS('Consulta1'!$M:$M,'Consulta1'!$D:$D,J$2,'Consulta1'!$F:$F,$B4)</f>
        <v>0</v>
      </c>
      <c r="K4">
        <f>SUMIFS('Consulta1'!$M:$M,'Consulta1'!$D:$D,K$2,'Consulta1'!$F:$F,$B4)</f>
        <v>80.403698000000006</v>
      </c>
      <c r="L4">
        <f>SUMIFS('Consulta1'!$M:$M,'Consulta1'!$D:$D,L$2,'Consulta1'!$F:$F,$B4)</f>
        <v>0</v>
      </c>
      <c r="M4">
        <f>SUMIFS('Consulta1'!$M:$M,'Consulta1'!$D:$D,M$2,'Consulta1'!$F:$F,$B4)</f>
        <v>0</v>
      </c>
      <c r="N4">
        <f>SUMIFS('Consulta1'!$M:$M,'Consulta1'!$D:$D,N$2,'Consulta1'!$F:$F,$B4)</f>
        <v>0</v>
      </c>
      <c r="O4">
        <f>SUMIFS('Consulta1'!$M:$M,'Consulta1'!$D:$D,O$2,'Consulta1'!$F:$F,$B4)</f>
        <v>0</v>
      </c>
      <c r="P4">
        <f>SUMIFS('Consulta1'!$M:$M,'Consulta1'!$D:$D,P$2,'Consulta1'!$F:$F,$B4)</f>
        <v>0</v>
      </c>
      <c r="Q4">
        <f>SUMIFS('Consulta1'!$M:$M,'Consulta1'!$D:$D,Q$2,'Consulta1'!$F:$F,$B4)</f>
        <v>0</v>
      </c>
      <c r="R4">
        <f>SUMIFS('Consulta1'!$M:$M,'Consulta1'!$D:$D,R$2,'Consulta1'!$F:$F,$B4)</f>
        <v>3963.1463560000002</v>
      </c>
      <c r="S4">
        <f>SUMIFS('Consulta1'!$M:$M,'Consulta1'!$D:$D,S$2,'Consulta1'!$F:$F,$B4)</f>
        <v>0</v>
      </c>
      <c r="T4">
        <f>SUMIFS('Consulta1'!$M:$M,'Consulta1'!$D:$D,T$2,'Consulta1'!$F:$F,$B4)</f>
        <v>120.721812</v>
      </c>
      <c r="U4">
        <f>SUMIFS('Consulta1'!$M:$M,'Consulta1'!$D:$D,U$2,'Consulta1'!$F:$F,$B4)</f>
        <v>0</v>
      </c>
      <c r="V4">
        <f>SUMIFS('Consulta1'!$M:$M,'Consulta1'!$D:$D,V$2,'Consulta1'!$F:$F,$B4)</f>
        <v>0</v>
      </c>
      <c r="W4">
        <f>SUMIFS('Consulta1'!$M:$M,'Consulta1'!$D:$D,W$2,'Consulta1'!$F:$F,$B4)</f>
        <v>0</v>
      </c>
      <c r="X4">
        <f>SUMIFS('Consulta1'!$M:$M,'Consulta1'!$D:$D,X$2,'Consulta1'!$F:$F,$B4)</f>
        <v>0</v>
      </c>
      <c r="Y4">
        <f>SUMIFS('Consulta1'!$M:$M,'Consulta1'!$D:$D,Y$2,'Consulta1'!$F:$F,$B4)</f>
        <v>0</v>
      </c>
      <c r="Z4">
        <f>SUMIFS('Consulta1'!$M:$M,'Consulta1'!$D:$D,Z$2,'Consulta1'!$F:$F,$B4)</f>
        <v>0</v>
      </c>
    </row>
    <row r="5" spans="2:27" x14ac:dyDescent="0.25">
      <c r="B5" t="str">
        <v>USD</v>
      </c>
      <c r="C5">
        <f>SUMIFS('Consulta1'!$M:$M,'Consulta1'!$D:$D,C$2,'Consulta1'!$F:$F,$B5)</f>
        <v>0</v>
      </c>
      <c r="D5">
        <f>SUMIFS('Consulta1'!$M:$M,'Consulta1'!$D:$D,D$2,'Consulta1'!$F:$F,$B5)</f>
        <v>0</v>
      </c>
      <c r="E5">
        <f>SUMIFS('Consulta1'!$M:$M,'Consulta1'!$D:$D,E$2,'Consulta1'!$F:$F,$B5)</f>
        <v>0</v>
      </c>
      <c r="F5">
        <f>SUMIFS('Consulta1'!$M:$M,'Consulta1'!$D:$D,F$2,'Consulta1'!$F:$F,$B5)</f>
        <v>0</v>
      </c>
      <c r="G5">
        <f>SUMIFS('Consulta1'!$M:$M,'Consulta1'!$D:$D,G$2,'Consulta1'!$F:$F,$B5)</f>
        <v>0</v>
      </c>
      <c r="H5">
        <f>SUMIFS('Consulta1'!$M:$M,'Consulta1'!$D:$D,H$2,'Consulta1'!$F:$F,$B5)</f>
        <v>0</v>
      </c>
      <c r="I5">
        <f>SUMIFS('Consulta1'!$M:$M,'Consulta1'!$D:$D,I$2,'Consulta1'!$F:$F,$B5)</f>
        <v>0</v>
      </c>
      <c r="J5">
        <f>SUMIFS('Consulta1'!$M:$M,'Consulta1'!$D:$D,J$2,'Consulta1'!$F:$F,$B5)</f>
        <v>0</v>
      </c>
      <c r="K5">
        <f>SUMIFS('Consulta1'!$M:$M,'Consulta1'!$D:$D,K$2,'Consulta1'!$F:$F,$B5)</f>
        <v>0</v>
      </c>
      <c r="L5">
        <f>SUMIFS('Consulta1'!$M:$M,'Consulta1'!$D:$D,L$2,'Consulta1'!$F:$F,$B5)</f>
        <v>2645505.7638750002</v>
      </c>
      <c r="M5">
        <f>SUMIFS('Consulta1'!$M:$M,'Consulta1'!$D:$D,M$2,'Consulta1'!$F:$F,$B5)</f>
        <v>2676732.3368509999</v>
      </c>
      <c r="N5">
        <f>SUMIFS('Consulta1'!$M:$M,'Consulta1'!$D:$D,N$2,'Consulta1'!$F:$F,$B5)</f>
        <v>0</v>
      </c>
      <c r="O5">
        <f>SUMIFS('Consulta1'!$M:$M,'Consulta1'!$D:$D,O$2,'Consulta1'!$F:$F,$B5)</f>
        <v>0</v>
      </c>
      <c r="P5">
        <f>SUMIFS('Consulta1'!$M:$M,'Consulta1'!$D:$D,P$2,'Consulta1'!$F:$F,$B5)</f>
        <v>0</v>
      </c>
      <c r="Q5">
        <f>SUMIFS('Consulta1'!$M:$M,'Consulta1'!$D:$D,Q$2,'Consulta1'!$F:$F,$B5)</f>
        <v>0</v>
      </c>
      <c r="R5">
        <f>SUMIFS('Consulta1'!$M:$M,'Consulta1'!$D:$D,R$2,'Consulta1'!$F:$F,$B5)</f>
        <v>0</v>
      </c>
      <c r="S5">
        <f>SUMIFS('Consulta1'!$M:$M,'Consulta1'!$D:$D,S$2,'Consulta1'!$F:$F,$B5)</f>
        <v>0</v>
      </c>
      <c r="T5">
        <f>SUMIFS('Consulta1'!$M:$M,'Consulta1'!$D:$D,T$2,'Consulta1'!$F:$F,$B5)</f>
        <v>0</v>
      </c>
      <c r="U5">
        <f>SUMIFS('Consulta1'!$M:$M,'Consulta1'!$D:$D,U$2,'Consulta1'!$F:$F,$B5)</f>
        <v>0</v>
      </c>
      <c r="V5">
        <f>SUMIFS('Consulta1'!$M:$M,'Consulta1'!$D:$D,V$2,'Consulta1'!$F:$F,$B5)</f>
        <v>0</v>
      </c>
      <c r="W5">
        <f>SUMIFS('Consulta1'!$M:$M,'Consulta1'!$D:$D,W$2,'Consulta1'!$F:$F,$B5)</f>
        <v>0</v>
      </c>
      <c r="X5">
        <f>SUMIFS('Consulta1'!$M:$M,'Consulta1'!$D:$D,X$2,'Consulta1'!$F:$F,$B5)</f>
        <v>2118439.1045820001</v>
      </c>
      <c r="Y5">
        <f>SUMIFS('Consulta1'!$M:$M,'Consulta1'!$D:$D,Y$2,'Consulta1'!$F:$F,$B5)</f>
        <v>0</v>
      </c>
      <c r="Z5">
        <f>SUMIFS('Consulta1'!$M:$M,'Consulta1'!$D:$D,Z$2,'Consulta1'!$F:$F,$B5)</f>
        <v>0</v>
      </c>
    </row>
    <row r="6" spans="2:27" x14ac:dyDescent="0.25">
      <c r="B6">
        <v>0</v>
      </c>
      <c r="C6">
        <f>SUMIFS('Consulta1'!$M:$M,'Consulta1'!$D:$D,C$2,'Consulta1'!$F:$F,$B6)</f>
        <v>0</v>
      </c>
      <c r="D6">
        <f>SUMIFS('Consulta1'!$M:$M,'Consulta1'!$D:$D,D$2,'Consulta1'!$F:$F,$B6)</f>
        <v>0</v>
      </c>
      <c r="E6">
        <f>SUMIFS('Consulta1'!$M:$M,'Consulta1'!$D:$D,E$2,'Consulta1'!$F:$F,$B6)</f>
        <v>0</v>
      </c>
      <c r="F6">
        <f>SUMIFS('Consulta1'!$M:$M,'Consulta1'!$D:$D,F$2,'Consulta1'!$F:$F,$B6)</f>
        <v>0</v>
      </c>
      <c r="G6">
        <f>SUMIFS('Consulta1'!$M:$M,'Consulta1'!$D:$D,G$2,'Consulta1'!$F:$F,$B6)</f>
        <v>0</v>
      </c>
      <c r="H6">
        <f>SUMIFS('Consulta1'!$M:$M,'Consulta1'!$D:$D,H$2,'Consulta1'!$F:$F,$B6)</f>
        <v>0</v>
      </c>
      <c r="I6">
        <f>SUMIFS('Consulta1'!$M:$M,'Consulta1'!$D:$D,I$2,'Consulta1'!$F:$F,$B6)</f>
        <v>0</v>
      </c>
      <c r="J6">
        <f>SUMIFS('Consulta1'!$M:$M,'Consulta1'!$D:$D,J$2,'Consulta1'!$F:$F,$B6)</f>
        <v>0</v>
      </c>
      <c r="K6">
        <f>SUMIFS('Consulta1'!$M:$M,'Consulta1'!$D:$D,K$2,'Consulta1'!$F:$F,$B6)</f>
        <v>0</v>
      </c>
      <c r="L6">
        <f>SUMIFS('Consulta1'!$M:$M,'Consulta1'!$D:$D,L$2,'Consulta1'!$F:$F,$B6)</f>
        <v>0</v>
      </c>
      <c r="M6">
        <f>SUMIFS('Consulta1'!$M:$M,'Consulta1'!$D:$D,M$2,'Consulta1'!$F:$F,$B6)</f>
        <v>0</v>
      </c>
      <c r="N6">
        <f>SUMIFS('Consulta1'!$M:$M,'Consulta1'!$D:$D,N$2,'Consulta1'!$F:$F,$B6)</f>
        <v>0</v>
      </c>
      <c r="O6">
        <f>SUMIFS('Consulta1'!$M:$M,'Consulta1'!$D:$D,O$2,'Consulta1'!$F:$F,$B6)</f>
        <v>0</v>
      </c>
      <c r="P6">
        <f>SUMIFS('Consulta1'!$M:$M,'Consulta1'!$D:$D,P$2,'Consulta1'!$F:$F,$B6)</f>
        <v>0</v>
      </c>
      <c r="Q6">
        <f>SUMIFS('Consulta1'!$M:$M,'Consulta1'!$D:$D,Q$2,'Consulta1'!$F:$F,$B6)</f>
        <v>0</v>
      </c>
      <c r="R6">
        <f>SUMIFS('Consulta1'!$M:$M,'Consulta1'!$D:$D,R$2,'Consulta1'!$F:$F,$B6)</f>
        <v>0</v>
      </c>
      <c r="S6">
        <f>SUMIFS('Consulta1'!$M:$M,'Consulta1'!$D:$D,S$2,'Consulta1'!$F:$F,$B6)</f>
        <v>0</v>
      </c>
      <c r="T6">
        <f>SUMIFS('Consulta1'!$M:$M,'Consulta1'!$D:$D,T$2,'Consulta1'!$F:$F,$B6)</f>
        <v>0</v>
      </c>
      <c r="U6">
        <f>SUMIFS('Consulta1'!$M:$M,'Consulta1'!$D:$D,U$2,'Consulta1'!$F:$F,$B6)</f>
        <v>0</v>
      </c>
      <c r="V6">
        <f>SUMIFS('Consulta1'!$M:$M,'Consulta1'!$D:$D,V$2,'Consulta1'!$F:$F,$B6)</f>
        <v>0</v>
      </c>
      <c r="W6">
        <f>SUMIFS('Consulta1'!$M:$M,'Consulta1'!$D:$D,W$2,'Consulta1'!$F:$F,$B6)</f>
        <v>0</v>
      </c>
      <c r="X6">
        <f>SUMIFS('Consulta1'!$M:$M,'Consulta1'!$D:$D,X$2,'Consulta1'!$F:$F,$B6)</f>
        <v>0</v>
      </c>
      <c r="Y6">
        <f>SUMIFS('Consulta1'!$M:$M,'Consulta1'!$D:$D,Y$2,'Consulta1'!$F:$F,$B6)</f>
        <v>0</v>
      </c>
      <c r="Z6">
        <f>SUMIFS('Consulta1'!$M:$M,'Consulta1'!$D:$D,Z$2,'Consulta1'!$F:$F,$B6)</f>
        <v>0</v>
      </c>
    </row>
    <row r="8" spans="2:27" x14ac:dyDescent="0.25">
      <c r="B8" t="s">
        <v>1380</v>
      </c>
      <c r="C8">
        <f>SUM(C3:C6)</f>
        <v>234765562.714095</v>
      </c>
      <c r="D8">
        <f t="shared" ref="D8:Z8" si="0">SUM(D3:D6)</f>
        <v>24663150258.556858</v>
      </c>
      <c r="E8">
        <f t="shared" si="0"/>
        <v>1460622638.0780549</v>
      </c>
      <c r="F8">
        <f t="shared" si="0"/>
        <v>4629623838.6303663</v>
      </c>
      <c r="G8">
        <f t="shared" si="0"/>
        <v>1024924955.2621619</v>
      </c>
      <c r="H8">
        <f t="shared" si="0"/>
        <v>2155473671.2326789</v>
      </c>
      <c r="I8">
        <f t="shared" si="0"/>
        <v>807169454.65037405</v>
      </c>
      <c r="J8">
        <f t="shared" si="0"/>
        <v>528584777.37070006</v>
      </c>
      <c r="K8">
        <f t="shared" si="0"/>
        <v>1107887168.2839136</v>
      </c>
      <c r="L8">
        <f t="shared" si="0"/>
        <v>2645505.7638750002</v>
      </c>
      <c r="M8">
        <f t="shared" si="0"/>
        <v>2676732.3368509999</v>
      </c>
      <c r="N8">
        <f t="shared" si="0"/>
        <v>1064693387.718603</v>
      </c>
      <c r="O8">
        <f t="shared" si="0"/>
        <v>678346309.44149303</v>
      </c>
      <c r="P8">
        <f t="shared" si="0"/>
        <v>3374726018.3124928</v>
      </c>
      <c r="Q8">
        <f t="shared" si="0"/>
        <v>923980090.96260297</v>
      </c>
      <c r="R8">
        <f t="shared" si="0"/>
        <v>2475379611.893054</v>
      </c>
      <c r="S8">
        <f t="shared" si="0"/>
        <v>476760484.588938</v>
      </c>
      <c r="T8">
        <f t="shared" si="0"/>
        <v>1071017235.7405468</v>
      </c>
      <c r="U8">
        <f t="shared" si="0"/>
        <v>1587436855.3115098</v>
      </c>
      <c r="V8">
        <f t="shared" si="0"/>
        <v>322854431.63815403</v>
      </c>
      <c r="W8">
        <f t="shared" si="0"/>
        <v>2587049655.2363319</v>
      </c>
      <c r="X8">
        <f t="shared" si="0"/>
        <v>2118439.1045820001</v>
      </c>
      <c r="Y8">
        <f t="shared" si="0"/>
        <v>1062650464.298681</v>
      </c>
      <c r="Z8">
        <f t="shared" si="0"/>
        <v>217640342.87161496</v>
      </c>
    </row>
    <row r="9" spans="2:27" x14ac:dyDescent="0.25">
      <c r="C9">
        <v>234765562.714095</v>
      </c>
      <c r="D9">
        <v>24663150258.556858</v>
      </c>
      <c r="E9">
        <v>1460622638.0780549</v>
      </c>
      <c r="F9">
        <v>4629623838.6303663</v>
      </c>
      <c r="G9">
        <v>1024924955.2621619</v>
      </c>
      <c r="H9">
        <v>2155473671.2326789</v>
      </c>
      <c r="I9">
        <v>807169454.65037405</v>
      </c>
      <c r="J9">
        <v>528584777.37070006</v>
      </c>
      <c r="K9">
        <v>1107887168.2839136</v>
      </c>
      <c r="L9">
        <v>2645505.7638750002</v>
      </c>
      <c r="M9">
        <v>2676732.3368509999</v>
      </c>
      <c r="N9">
        <v>1064693387.718603</v>
      </c>
      <c r="O9">
        <v>678346309.44149303</v>
      </c>
      <c r="P9">
        <v>3374726018.3124928</v>
      </c>
      <c r="Q9">
        <v>923980090.96260297</v>
      </c>
      <c r="R9">
        <v>2475379611.893054</v>
      </c>
      <c r="S9">
        <v>476760484.588938</v>
      </c>
      <c r="T9">
        <v>1071017235.7405468</v>
      </c>
      <c r="U9">
        <v>1587436855.3115098</v>
      </c>
      <c r="V9">
        <v>322854431.63815403</v>
      </c>
      <c r="W9">
        <v>2587049655.2363319</v>
      </c>
      <c r="X9">
        <v>2118439.1045820001</v>
      </c>
      <c r="Y9">
        <v>1062650464.298681</v>
      </c>
      <c r="Z9">
        <v>217640342.87161496</v>
      </c>
    </row>
    <row r="12" spans="2:27" x14ac:dyDescent="0.25">
      <c r="B12" t="str" cm="1">
        <f t="array" ref="B12:B16">_xlfn.UNIQUE('Consulta1'!F:F)</f>
        <v>COD_MONEDA</v>
      </c>
      <c r="C12" t="s">
        <v>18</v>
      </c>
      <c r="D12" t="s">
        <v>35</v>
      </c>
      <c r="E12" t="s">
        <v>56</v>
      </c>
      <c r="F12" t="s">
        <v>60</v>
      </c>
      <c r="G12" t="s">
        <v>65</v>
      </c>
      <c r="H12" t="s">
        <v>69</v>
      </c>
      <c r="I12" t="s">
        <v>75</v>
      </c>
      <c r="J12" t="s">
        <v>79</v>
      </c>
      <c r="K12" t="s">
        <v>82</v>
      </c>
      <c r="L12" t="s">
        <v>86</v>
      </c>
      <c r="M12" t="s">
        <v>96</v>
      </c>
      <c r="N12" t="s">
        <v>99</v>
      </c>
      <c r="O12" t="s">
        <v>102</v>
      </c>
      <c r="P12" t="s">
        <v>104</v>
      </c>
      <c r="Q12" t="s">
        <v>108</v>
      </c>
      <c r="R12" t="s">
        <v>111</v>
      </c>
      <c r="S12" t="s">
        <v>114</v>
      </c>
      <c r="T12" t="s">
        <v>117</v>
      </c>
      <c r="U12" t="s">
        <v>122</v>
      </c>
      <c r="V12" t="s">
        <v>1324</v>
      </c>
      <c r="W12" t="s">
        <v>124</v>
      </c>
      <c r="X12" t="s">
        <v>127</v>
      </c>
      <c r="Y12" t="s">
        <v>132</v>
      </c>
      <c r="Z12" t="s">
        <v>135</v>
      </c>
      <c r="AA12" t="s">
        <v>1381</v>
      </c>
    </row>
    <row r="13" spans="2:27" x14ac:dyDescent="0.25">
      <c r="B13" t="str">
        <v>CLP</v>
      </c>
      <c r="C13" s="7">
        <f>_xlfn.PERCENTOF(C3,C$8)</f>
        <v>1</v>
      </c>
      <c r="D13" s="7">
        <f t="shared" ref="D13:Z13" si="1">_xlfn.PERCENTOF(D3,D$8)</f>
        <v>0.99999933563567289</v>
      </c>
      <c r="E13" s="7">
        <f t="shared" si="1"/>
        <v>1</v>
      </c>
      <c r="F13" s="7">
        <f t="shared" si="1"/>
        <v>1</v>
      </c>
      <c r="G13" s="7">
        <f t="shared" si="1"/>
        <v>1</v>
      </c>
      <c r="H13" s="7">
        <f t="shared" si="1"/>
        <v>1</v>
      </c>
      <c r="I13" s="7">
        <f t="shared" si="1"/>
        <v>1</v>
      </c>
      <c r="J13" s="7">
        <f t="shared" si="1"/>
        <v>1</v>
      </c>
      <c r="K13" s="7">
        <f t="shared" si="1"/>
        <v>0.99999992742609511</v>
      </c>
      <c r="L13" s="7">
        <f t="shared" si="1"/>
        <v>0</v>
      </c>
      <c r="M13" s="7">
        <f t="shared" si="1"/>
        <v>0</v>
      </c>
      <c r="N13" s="7">
        <f t="shared" si="1"/>
        <v>1</v>
      </c>
      <c r="O13" s="7">
        <f t="shared" si="1"/>
        <v>1</v>
      </c>
      <c r="P13" s="7">
        <f t="shared" si="1"/>
        <v>1</v>
      </c>
      <c r="Q13" s="7">
        <f t="shared" si="1"/>
        <v>1</v>
      </c>
      <c r="R13" s="7">
        <f t="shared" si="1"/>
        <v>0.99999839897430798</v>
      </c>
      <c r="S13" s="7">
        <f t="shared" si="1"/>
        <v>1</v>
      </c>
      <c r="T13" s="7">
        <f t="shared" si="1"/>
        <v>0.99999988728303524</v>
      </c>
      <c r="U13" s="7">
        <f t="shared" si="1"/>
        <v>1</v>
      </c>
      <c r="V13" s="7">
        <f t="shared" si="1"/>
        <v>1</v>
      </c>
      <c r="W13" s="7">
        <f t="shared" si="1"/>
        <v>1</v>
      </c>
      <c r="X13" s="7">
        <f t="shared" si="1"/>
        <v>0</v>
      </c>
      <c r="Y13" s="7">
        <f t="shared" si="1"/>
        <v>1</v>
      </c>
      <c r="Z13" s="7">
        <f t="shared" si="1"/>
        <v>1</v>
      </c>
    </row>
    <row r="14" spans="2:27" x14ac:dyDescent="0.25">
      <c r="B14" t="str">
        <v>UF</v>
      </c>
      <c r="C14" s="7">
        <f t="shared" ref="C14:Z14" si="2">_xlfn.PERCENTOF(C4,C$8)</f>
        <v>0</v>
      </c>
      <c r="D14" s="7">
        <f t="shared" si="2"/>
        <v>6.6436432715302172E-7</v>
      </c>
      <c r="E14" s="7">
        <f t="shared" si="2"/>
        <v>0</v>
      </c>
      <c r="F14" s="7">
        <f t="shared" si="2"/>
        <v>0</v>
      </c>
      <c r="G14" s="7">
        <f t="shared" si="2"/>
        <v>0</v>
      </c>
      <c r="H14" s="7">
        <f t="shared" si="2"/>
        <v>0</v>
      </c>
      <c r="I14" s="7">
        <f t="shared" si="2"/>
        <v>0</v>
      </c>
      <c r="J14" s="7">
        <f t="shared" si="2"/>
        <v>0</v>
      </c>
      <c r="K14" s="7">
        <f t="shared" si="2"/>
        <v>7.257390490815333E-8</v>
      </c>
      <c r="L14" s="7">
        <f t="shared" si="2"/>
        <v>0</v>
      </c>
      <c r="M14" s="7">
        <f t="shared" si="2"/>
        <v>0</v>
      </c>
      <c r="N14" s="7">
        <f t="shared" si="2"/>
        <v>0</v>
      </c>
      <c r="O14" s="7">
        <f t="shared" si="2"/>
        <v>0</v>
      </c>
      <c r="P14" s="7">
        <f t="shared" si="2"/>
        <v>0</v>
      </c>
      <c r="Q14" s="7">
        <f t="shared" si="2"/>
        <v>0</v>
      </c>
      <c r="R14" s="7">
        <f t="shared" si="2"/>
        <v>1.6010256919621197E-6</v>
      </c>
      <c r="S14" s="7">
        <f t="shared" si="2"/>
        <v>0</v>
      </c>
      <c r="T14" s="7">
        <f t="shared" si="2"/>
        <v>1.1271696474289492E-7</v>
      </c>
      <c r="U14" s="7">
        <f t="shared" si="2"/>
        <v>0</v>
      </c>
      <c r="V14" s="7">
        <f t="shared" si="2"/>
        <v>0</v>
      </c>
      <c r="W14" s="7">
        <f t="shared" si="2"/>
        <v>0</v>
      </c>
      <c r="X14" s="7">
        <f t="shared" si="2"/>
        <v>0</v>
      </c>
      <c r="Y14" s="7">
        <f t="shared" si="2"/>
        <v>0</v>
      </c>
      <c r="Z14" s="7">
        <f t="shared" si="2"/>
        <v>0</v>
      </c>
    </row>
    <row r="15" spans="2:27" x14ac:dyDescent="0.25">
      <c r="B15" t="str">
        <v>USD</v>
      </c>
      <c r="C15" s="7">
        <f t="shared" ref="C15:Z15" si="3">_xlfn.PERCENTOF(C5,C$8)</f>
        <v>0</v>
      </c>
      <c r="D15" s="7">
        <f t="shared" si="3"/>
        <v>0</v>
      </c>
      <c r="E15" s="7">
        <f t="shared" si="3"/>
        <v>0</v>
      </c>
      <c r="F15" s="7">
        <f t="shared" si="3"/>
        <v>0</v>
      </c>
      <c r="G15" s="7">
        <f t="shared" si="3"/>
        <v>0</v>
      </c>
      <c r="H15" s="7">
        <f t="shared" si="3"/>
        <v>0</v>
      </c>
      <c r="I15" s="7">
        <f t="shared" si="3"/>
        <v>0</v>
      </c>
      <c r="J15" s="7">
        <f t="shared" si="3"/>
        <v>0</v>
      </c>
      <c r="K15" s="7">
        <f t="shared" si="3"/>
        <v>0</v>
      </c>
      <c r="L15" s="7">
        <f t="shared" si="3"/>
        <v>1</v>
      </c>
      <c r="M15" s="7">
        <f t="shared" si="3"/>
        <v>1</v>
      </c>
      <c r="N15" s="7">
        <f t="shared" si="3"/>
        <v>0</v>
      </c>
      <c r="O15" s="7">
        <f t="shared" si="3"/>
        <v>0</v>
      </c>
      <c r="P15" s="7">
        <f t="shared" si="3"/>
        <v>0</v>
      </c>
      <c r="Q15" s="7">
        <f t="shared" si="3"/>
        <v>0</v>
      </c>
      <c r="R15" s="7">
        <f t="shared" si="3"/>
        <v>0</v>
      </c>
      <c r="S15" s="7">
        <f t="shared" si="3"/>
        <v>0</v>
      </c>
      <c r="T15" s="7">
        <f t="shared" si="3"/>
        <v>0</v>
      </c>
      <c r="U15" s="7">
        <f t="shared" si="3"/>
        <v>0</v>
      </c>
      <c r="V15" s="7">
        <f t="shared" si="3"/>
        <v>0</v>
      </c>
      <c r="W15" s="7">
        <f t="shared" si="3"/>
        <v>0</v>
      </c>
      <c r="X15" s="7">
        <f t="shared" si="3"/>
        <v>1</v>
      </c>
      <c r="Y15" s="7">
        <f t="shared" si="3"/>
        <v>0</v>
      </c>
      <c r="Z15" s="7">
        <f t="shared" si="3"/>
        <v>0</v>
      </c>
    </row>
    <row r="16" spans="2:27" x14ac:dyDescent="0.25">
      <c r="B16">
        <v>0</v>
      </c>
      <c r="C16" s="7">
        <f t="shared" ref="C16:Z16" si="4">_xlfn.PERCENTOF(C6,C$8)</f>
        <v>0</v>
      </c>
      <c r="D16" s="7">
        <f t="shared" si="4"/>
        <v>0</v>
      </c>
      <c r="E16" s="7">
        <f t="shared" si="4"/>
        <v>0</v>
      </c>
      <c r="F16" s="7">
        <f t="shared" si="4"/>
        <v>0</v>
      </c>
      <c r="G16" s="7">
        <f t="shared" si="4"/>
        <v>0</v>
      </c>
      <c r="H16" s="7">
        <f t="shared" si="4"/>
        <v>0</v>
      </c>
      <c r="I16" s="7">
        <f t="shared" si="4"/>
        <v>0</v>
      </c>
      <c r="J16" s="7">
        <f t="shared" si="4"/>
        <v>0</v>
      </c>
      <c r="K16" s="7">
        <f t="shared" si="4"/>
        <v>0</v>
      </c>
      <c r="L16" s="7">
        <f t="shared" si="4"/>
        <v>0</v>
      </c>
      <c r="M16" s="7">
        <f t="shared" si="4"/>
        <v>0</v>
      </c>
      <c r="N16" s="7">
        <f t="shared" si="4"/>
        <v>0</v>
      </c>
      <c r="O16" s="7">
        <f t="shared" si="4"/>
        <v>0</v>
      </c>
      <c r="P16" s="7">
        <f t="shared" si="4"/>
        <v>0</v>
      </c>
      <c r="Q16" s="7">
        <f t="shared" si="4"/>
        <v>0</v>
      </c>
      <c r="R16" s="7">
        <f t="shared" si="4"/>
        <v>0</v>
      </c>
      <c r="S16" s="7">
        <f t="shared" si="4"/>
        <v>0</v>
      </c>
      <c r="T16" s="7">
        <f t="shared" si="4"/>
        <v>0</v>
      </c>
      <c r="U16" s="7">
        <f t="shared" si="4"/>
        <v>0</v>
      </c>
      <c r="V16" s="7">
        <f t="shared" si="4"/>
        <v>0</v>
      </c>
      <c r="W16" s="7">
        <f t="shared" si="4"/>
        <v>0</v>
      </c>
      <c r="X16" s="7">
        <f t="shared" si="4"/>
        <v>0</v>
      </c>
      <c r="Y16" s="7">
        <f t="shared" si="4"/>
        <v>0</v>
      </c>
      <c r="Z16" s="7">
        <f t="shared" si="4"/>
        <v>0</v>
      </c>
    </row>
    <row r="18" spans="2:26" x14ac:dyDescent="0.25">
      <c r="B18" t="s">
        <v>1380</v>
      </c>
      <c r="C18" s="8">
        <f>SUM(C13:C16)</f>
        <v>1</v>
      </c>
      <c r="D18" s="8">
        <f t="shared" ref="D18:Z18" si="5">SUM(D13:D16)</f>
        <v>1</v>
      </c>
      <c r="E18" s="8">
        <f t="shared" si="5"/>
        <v>1</v>
      </c>
      <c r="F18" s="8">
        <f t="shared" si="5"/>
        <v>1</v>
      </c>
      <c r="G18" s="8">
        <f t="shared" si="5"/>
        <v>1</v>
      </c>
      <c r="H18" s="8">
        <f t="shared" si="5"/>
        <v>1</v>
      </c>
      <c r="I18" s="8">
        <f t="shared" si="5"/>
        <v>1</v>
      </c>
      <c r="J18" s="8">
        <f t="shared" si="5"/>
        <v>1</v>
      </c>
      <c r="K18" s="8">
        <f t="shared" si="5"/>
        <v>1</v>
      </c>
      <c r="L18" s="8">
        <f t="shared" si="5"/>
        <v>1</v>
      </c>
      <c r="M18" s="8">
        <f t="shared" si="5"/>
        <v>1</v>
      </c>
      <c r="N18" s="8">
        <f t="shared" si="5"/>
        <v>1</v>
      </c>
      <c r="O18" s="8">
        <f t="shared" si="5"/>
        <v>1</v>
      </c>
      <c r="P18" s="8">
        <f t="shared" si="5"/>
        <v>1</v>
      </c>
      <c r="Q18" s="8">
        <f t="shared" si="5"/>
        <v>1</v>
      </c>
      <c r="R18" s="8">
        <f t="shared" si="5"/>
        <v>0.99999999999999989</v>
      </c>
      <c r="S18" s="8">
        <f t="shared" si="5"/>
        <v>1</v>
      </c>
      <c r="T18" s="8">
        <f t="shared" si="5"/>
        <v>1</v>
      </c>
      <c r="U18" s="8">
        <f t="shared" si="5"/>
        <v>1</v>
      </c>
      <c r="V18" s="8">
        <f t="shared" si="5"/>
        <v>1</v>
      </c>
      <c r="W18" s="8">
        <f t="shared" si="5"/>
        <v>1</v>
      </c>
      <c r="X18" s="8">
        <f t="shared" si="5"/>
        <v>1</v>
      </c>
      <c r="Y18" s="8">
        <f t="shared" si="5"/>
        <v>1</v>
      </c>
      <c r="Z18" s="8">
        <f t="shared" si="5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9C264-C1A4-42A6-878A-604774B75B23}">
  <dimension ref="E1:I1135"/>
  <sheetViews>
    <sheetView topLeftCell="A1115" workbookViewId="0">
      <selection activeCell="J1127" sqref="J1127"/>
    </sheetView>
  </sheetViews>
  <sheetFormatPr baseColWidth="10" defaultColWidth="11.42578125" defaultRowHeight="15" x14ac:dyDescent="0.25"/>
  <cols>
    <col min="6" max="6" width="8.7109375" customWidth="1"/>
  </cols>
  <sheetData>
    <row r="1" spans="5:9" x14ac:dyDescent="0.25">
      <c r="H1" t="s">
        <v>193</v>
      </c>
      <c r="I1" t="s">
        <v>194</v>
      </c>
    </row>
    <row r="2" spans="5:9" x14ac:dyDescent="0.25">
      <c r="H2" t="s">
        <v>195</v>
      </c>
      <c r="I2" t="s">
        <v>196</v>
      </c>
    </row>
    <row r="3" spans="5:9" x14ac:dyDescent="0.25">
      <c r="H3" t="s">
        <v>197</v>
      </c>
      <c r="I3" t="s">
        <v>196</v>
      </c>
    </row>
    <row r="4" spans="5:9" x14ac:dyDescent="0.25">
      <c r="E4">
        <v>30</v>
      </c>
      <c r="F4" s="4">
        <f>+E4/360</f>
        <v>8.3333333333333329E-2</v>
      </c>
      <c r="H4" t="s">
        <v>198</v>
      </c>
      <c r="I4" t="s">
        <v>196</v>
      </c>
    </row>
    <row r="5" spans="5:9" x14ac:dyDescent="0.25">
      <c r="E5">
        <v>90</v>
      </c>
      <c r="F5" s="5">
        <f t="shared" ref="F5:F8" si="0">+E5/360</f>
        <v>0.25</v>
      </c>
      <c r="H5" t="s">
        <v>199</v>
      </c>
      <c r="I5" t="s">
        <v>196</v>
      </c>
    </row>
    <row r="6" spans="5:9" x14ac:dyDescent="0.25">
      <c r="E6">
        <v>120</v>
      </c>
      <c r="F6" s="5">
        <f t="shared" si="0"/>
        <v>0.33333333333333331</v>
      </c>
      <c r="H6" t="s">
        <v>200</v>
      </c>
      <c r="I6" t="s">
        <v>201</v>
      </c>
    </row>
    <row r="7" spans="5:9" x14ac:dyDescent="0.25">
      <c r="E7">
        <v>360</v>
      </c>
      <c r="F7" s="5">
        <f t="shared" si="0"/>
        <v>1</v>
      </c>
      <c r="H7" t="s">
        <v>187</v>
      </c>
      <c r="I7" t="s">
        <v>196</v>
      </c>
    </row>
    <row r="8" spans="5:9" x14ac:dyDescent="0.25">
      <c r="E8">
        <v>720</v>
      </c>
      <c r="F8" s="5">
        <f t="shared" si="0"/>
        <v>2</v>
      </c>
      <c r="H8" t="s">
        <v>202</v>
      </c>
      <c r="I8" t="s">
        <v>201</v>
      </c>
    </row>
    <row r="9" spans="5:9" x14ac:dyDescent="0.25">
      <c r="H9" t="s">
        <v>203</v>
      </c>
      <c r="I9" t="s">
        <v>196</v>
      </c>
    </row>
    <row r="10" spans="5:9" x14ac:dyDescent="0.25">
      <c r="H10" t="s">
        <v>204</v>
      </c>
      <c r="I10" t="s">
        <v>196</v>
      </c>
    </row>
    <row r="11" spans="5:9" x14ac:dyDescent="0.25">
      <c r="H11" t="s">
        <v>205</v>
      </c>
      <c r="I11" t="s">
        <v>201</v>
      </c>
    </row>
    <row r="12" spans="5:9" x14ac:dyDescent="0.25">
      <c r="H12" t="s">
        <v>206</v>
      </c>
      <c r="I12" t="s">
        <v>196</v>
      </c>
    </row>
    <row r="13" spans="5:9" x14ac:dyDescent="0.25">
      <c r="H13" t="s">
        <v>207</v>
      </c>
      <c r="I13" t="s">
        <v>208</v>
      </c>
    </row>
    <row r="14" spans="5:9" x14ac:dyDescent="0.25">
      <c r="H14" t="s">
        <v>209</v>
      </c>
      <c r="I14" t="s">
        <v>196</v>
      </c>
    </row>
    <row r="15" spans="5:9" x14ac:dyDescent="0.25">
      <c r="H15" t="s">
        <v>210</v>
      </c>
      <c r="I15" t="s">
        <v>196</v>
      </c>
    </row>
    <row r="16" spans="5:9" x14ac:dyDescent="0.25">
      <c r="H16" t="s">
        <v>211</v>
      </c>
      <c r="I16" t="s">
        <v>196</v>
      </c>
    </row>
    <row r="17" spans="8:9" x14ac:dyDescent="0.25">
      <c r="H17" t="s">
        <v>212</v>
      </c>
      <c r="I17" t="s">
        <v>196</v>
      </c>
    </row>
    <row r="18" spans="8:9" x14ac:dyDescent="0.25">
      <c r="H18" t="s">
        <v>177</v>
      </c>
      <c r="I18" t="s">
        <v>196</v>
      </c>
    </row>
    <row r="19" spans="8:9" x14ac:dyDescent="0.25">
      <c r="H19" t="s">
        <v>213</v>
      </c>
      <c r="I19" t="s">
        <v>196</v>
      </c>
    </row>
    <row r="20" spans="8:9" x14ac:dyDescent="0.25">
      <c r="H20" t="s">
        <v>150</v>
      </c>
      <c r="I20" t="s">
        <v>196</v>
      </c>
    </row>
    <row r="21" spans="8:9" x14ac:dyDescent="0.25">
      <c r="H21" t="s">
        <v>214</v>
      </c>
      <c r="I21" t="s">
        <v>215</v>
      </c>
    </row>
    <row r="22" spans="8:9" x14ac:dyDescent="0.25">
      <c r="H22" t="s">
        <v>216</v>
      </c>
      <c r="I22" t="s">
        <v>215</v>
      </c>
    </row>
    <row r="23" spans="8:9" x14ac:dyDescent="0.25">
      <c r="H23" t="s">
        <v>217</v>
      </c>
      <c r="I23" t="s">
        <v>196</v>
      </c>
    </row>
    <row r="24" spans="8:9" x14ac:dyDescent="0.25">
      <c r="H24" t="s">
        <v>218</v>
      </c>
      <c r="I24" t="s">
        <v>196</v>
      </c>
    </row>
    <row r="25" spans="8:9" x14ac:dyDescent="0.25">
      <c r="H25" t="s">
        <v>185</v>
      </c>
      <c r="I25" t="s">
        <v>196</v>
      </c>
    </row>
    <row r="26" spans="8:9" x14ac:dyDescent="0.25">
      <c r="H26" t="s">
        <v>219</v>
      </c>
      <c r="I26" t="s">
        <v>196</v>
      </c>
    </row>
    <row r="27" spans="8:9" x14ac:dyDescent="0.25">
      <c r="H27" t="s">
        <v>220</v>
      </c>
      <c r="I27" t="s">
        <v>196</v>
      </c>
    </row>
    <row r="28" spans="8:9" x14ac:dyDescent="0.25">
      <c r="H28" t="s">
        <v>168</v>
      </c>
      <c r="I28" t="s">
        <v>196</v>
      </c>
    </row>
    <row r="29" spans="8:9" x14ac:dyDescent="0.25">
      <c r="H29" t="s">
        <v>221</v>
      </c>
      <c r="I29" t="s">
        <v>196</v>
      </c>
    </row>
    <row r="30" spans="8:9" x14ac:dyDescent="0.25">
      <c r="H30" t="s">
        <v>222</v>
      </c>
      <c r="I30" t="s">
        <v>196</v>
      </c>
    </row>
    <row r="31" spans="8:9" x14ac:dyDescent="0.25">
      <c r="H31" t="s">
        <v>223</v>
      </c>
      <c r="I31" t="s">
        <v>196</v>
      </c>
    </row>
    <row r="32" spans="8:9" x14ac:dyDescent="0.25">
      <c r="H32" t="s">
        <v>151</v>
      </c>
      <c r="I32" t="s">
        <v>196</v>
      </c>
    </row>
    <row r="33" spans="8:9" x14ac:dyDescent="0.25">
      <c r="H33" t="s">
        <v>224</v>
      </c>
      <c r="I33" t="s">
        <v>196</v>
      </c>
    </row>
    <row r="34" spans="8:9" x14ac:dyDescent="0.25">
      <c r="H34" t="s">
        <v>225</v>
      </c>
      <c r="I34" t="s">
        <v>226</v>
      </c>
    </row>
    <row r="35" spans="8:9" x14ac:dyDescent="0.25">
      <c r="H35" t="s">
        <v>227</v>
      </c>
      <c r="I35" t="s">
        <v>201</v>
      </c>
    </row>
    <row r="36" spans="8:9" x14ac:dyDescent="0.25">
      <c r="H36" t="s">
        <v>228</v>
      </c>
      <c r="I36" t="s">
        <v>196</v>
      </c>
    </row>
    <row r="37" spans="8:9" x14ac:dyDescent="0.25">
      <c r="H37" t="s">
        <v>229</v>
      </c>
      <c r="I37" t="s">
        <v>201</v>
      </c>
    </row>
    <row r="38" spans="8:9" x14ac:dyDescent="0.25">
      <c r="H38" t="s">
        <v>230</v>
      </c>
      <c r="I38" t="s">
        <v>226</v>
      </c>
    </row>
    <row r="39" spans="8:9" x14ac:dyDescent="0.25">
      <c r="H39" t="s">
        <v>231</v>
      </c>
      <c r="I39" t="s">
        <v>201</v>
      </c>
    </row>
    <row r="40" spans="8:9" x14ac:dyDescent="0.25">
      <c r="H40" t="s">
        <v>232</v>
      </c>
      <c r="I40" t="s">
        <v>196</v>
      </c>
    </row>
    <row r="41" spans="8:9" x14ac:dyDescent="0.25">
      <c r="H41" t="s">
        <v>161</v>
      </c>
      <c r="I41" t="s">
        <v>196</v>
      </c>
    </row>
    <row r="42" spans="8:9" x14ac:dyDescent="0.25">
      <c r="H42" t="s">
        <v>233</v>
      </c>
      <c r="I42" t="s">
        <v>196</v>
      </c>
    </row>
    <row r="43" spans="8:9" x14ac:dyDescent="0.25">
      <c r="H43" t="s">
        <v>234</v>
      </c>
      <c r="I43" t="s">
        <v>196</v>
      </c>
    </row>
    <row r="44" spans="8:9" x14ac:dyDescent="0.25">
      <c r="H44" t="s">
        <v>235</v>
      </c>
      <c r="I44" t="s">
        <v>196</v>
      </c>
    </row>
    <row r="45" spans="8:9" x14ac:dyDescent="0.25">
      <c r="H45" t="s">
        <v>236</v>
      </c>
      <c r="I45" t="s">
        <v>201</v>
      </c>
    </row>
    <row r="46" spans="8:9" x14ac:dyDescent="0.25">
      <c r="H46" t="s">
        <v>237</v>
      </c>
      <c r="I46" t="s">
        <v>196</v>
      </c>
    </row>
    <row r="47" spans="8:9" x14ac:dyDescent="0.25">
      <c r="H47" t="s">
        <v>158</v>
      </c>
      <c r="I47" t="s">
        <v>201</v>
      </c>
    </row>
    <row r="48" spans="8:9" x14ac:dyDescent="0.25">
      <c r="H48" t="s">
        <v>238</v>
      </c>
      <c r="I48" t="s">
        <v>201</v>
      </c>
    </row>
    <row r="49" spans="8:9" x14ac:dyDescent="0.25">
      <c r="H49" t="s">
        <v>239</v>
      </c>
      <c r="I49" t="s">
        <v>201</v>
      </c>
    </row>
    <row r="50" spans="8:9" x14ac:dyDescent="0.25">
      <c r="H50" t="s">
        <v>159</v>
      </c>
      <c r="I50" t="s">
        <v>196</v>
      </c>
    </row>
    <row r="51" spans="8:9" x14ac:dyDescent="0.25">
      <c r="H51" t="s">
        <v>240</v>
      </c>
      <c r="I51" t="s">
        <v>196</v>
      </c>
    </row>
    <row r="52" spans="8:9" x14ac:dyDescent="0.25">
      <c r="H52" t="s">
        <v>241</v>
      </c>
      <c r="I52" t="s">
        <v>196</v>
      </c>
    </row>
    <row r="53" spans="8:9" x14ac:dyDescent="0.25">
      <c r="H53" t="s">
        <v>149</v>
      </c>
      <c r="I53" t="s">
        <v>201</v>
      </c>
    </row>
    <row r="54" spans="8:9" x14ac:dyDescent="0.25">
      <c r="H54" t="s">
        <v>242</v>
      </c>
      <c r="I54" t="s">
        <v>196</v>
      </c>
    </row>
    <row r="55" spans="8:9" x14ac:dyDescent="0.25">
      <c r="H55" t="s">
        <v>243</v>
      </c>
      <c r="I55" t="s">
        <v>196</v>
      </c>
    </row>
    <row r="56" spans="8:9" x14ac:dyDescent="0.25">
      <c r="H56" t="s">
        <v>244</v>
      </c>
      <c r="I56" t="s">
        <v>201</v>
      </c>
    </row>
    <row r="57" spans="8:9" x14ac:dyDescent="0.25">
      <c r="H57" t="s">
        <v>182</v>
      </c>
      <c r="I57" t="s">
        <v>201</v>
      </c>
    </row>
    <row r="58" spans="8:9" x14ac:dyDescent="0.25">
      <c r="H58" t="s">
        <v>245</v>
      </c>
      <c r="I58" t="s">
        <v>201</v>
      </c>
    </row>
    <row r="59" spans="8:9" x14ac:dyDescent="0.25">
      <c r="H59" t="s">
        <v>148</v>
      </c>
      <c r="I59" t="s">
        <v>196</v>
      </c>
    </row>
    <row r="60" spans="8:9" x14ac:dyDescent="0.25">
      <c r="H60" t="s">
        <v>246</v>
      </c>
      <c r="I60" t="s">
        <v>196</v>
      </c>
    </row>
    <row r="61" spans="8:9" x14ac:dyDescent="0.25">
      <c r="H61" t="s">
        <v>247</v>
      </c>
      <c r="I61" t="s">
        <v>196</v>
      </c>
    </row>
    <row r="62" spans="8:9" x14ac:dyDescent="0.25">
      <c r="H62" t="s">
        <v>248</v>
      </c>
      <c r="I62" t="s">
        <v>196</v>
      </c>
    </row>
    <row r="63" spans="8:9" x14ac:dyDescent="0.25">
      <c r="H63" t="s">
        <v>249</v>
      </c>
      <c r="I63" t="s">
        <v>196</v>
      </c>
    </row>
    <row r="64" spans="8:9" x14ac:dyDescent="0.25">
      <c r="H64" t="s">
        <v>250</v>
      </c>
      <c r="I64" t="s">
        <v>201</v>
      </c>
    </row>
    <row r="65" spans="8:9" x14ac:dyDescent="0.25">
      <c r="H65" t="s">
        <v>251</v>
      </c>
      <c r="I65" t="s">
        <v>196</v>
      </c>
    </row>
    <row r="66" spans="8:9" x14ac:dyDescent="0.25">
      <c r="H66" t="s">
        <v>252</v>
      </c>
      <c r="I66" t="s">
        <v>201</v>
      </c>
    </row>
    <row r="67" spans="8:9" x14ac:dyDescent="0.25">
      <c r="H67" t="s">
        <v>171</v>
      </c>
      <c r="I67" t="s">
        <v>196</v>
      </c>
    </row>
    <row r="68" spans="8:9" x14ac:dyDescent="0.25">
      <c r="H68" t="s">
        <v>169</v>
      </c>
      <c r="I68" t="s">
        <v>196</v>
      </c>
    </row>
    <row r="69" spans="8:9" x14ac:dyDescent="0.25">
      <c r="H69" t="s">
        <v>253</v>
      </c>
      <c r="I69" t="s">
        <v>201</v>
      </c>
    </row>
    <row r="70" spans="8:9" x14ac:dyDescent="0.25">
      <c r="H70" t="s">
        <v>254</v>
      </c>
      <c r="I70" t="s">
        <v>196</v>
      </c>
    </row>
    <row r="71" spans="8:9" x14ac:dyDescent="0.25">
      <c r="H71" t="s">
        <v>140</v>
      </c>
      <c r="I71" t="s">
        <v>196</v>
      </c>
    </row>
    <row r="72" spans="8:9" x14ac:dyDescent="0.25">
      <c r="H72" t="s">
        <v>255</v>
      </c>
      <c r="I72" t="s">
        <v>196</v>
      </c>
    </row>
    <row r="73" spans="8:9" x14ac:dyDescent="0.25">
      <c r="H73" t="s">
        <v>256</v>
      </c>
      <c r="I73" t="s">
        <v>196</v>
      </c>
    </row>
    <row r="74" spans="8:9" x14ac:dyDescent="0.25">
      <c r="H74" t="s">
        <v>257</v>
      </c>
      <c r="I74" t="s">
        <v>196</v>
      </c>
    </row>
    <row r="75" spans="8:9" x14ac:dyDescent="0.25">
      <c r="H75" t="s">
        <v>258</v>
      </c>
      <c r="I75" t="s">
        <v>196</v>
      </c>
    </row>
    <row r="76" spans="8:9" x14ac:dyDescent="0.25">
      <c r="H76" t="s">
        <v>259</v>
      </c>
      <c r="I76" t="s">
        <v>196</v>
      </c>
    </row>
    <row r="77" spans="8:9" x14ac:dyDescent="0.25">
      <c r="H77" t="s">
        <v>172</v>
      </c>
      <c r="I77" t="s">
        <v>196</v>
      </c>
    </row>
    <row r="78" spans="8:9" x14ac:dyDescent="0.25">
      <c r="H78" t="s">
        <v>260</v>
      </c>
      <c r="I78" t="s">
        <v>196</v>
      </c>
    </row>
    <row r="79" spans="8:9" x14ac:dyDescent="0.25">
      <c r="H79" t="s">
        <v>144</v>
      </c>
      <c r="I79" t="s">
        <v>196</v>
      </c>
    </row>
    <row r="80" spans="8:9" x14ac:dyDescent="0.25">
      <c r="H80" t="s">
        <v>261</v>
      </c>
      <c r="I80" t="s">
        <v>196</v>
      </c>
    </row>
    <row r="81" spans="8:9" x14ac:dyDescent="0.25">
      <c r="H81" t="s">
        <v>262</v>
      </c>
      <c r="I81" t="s">
        <v>196</v>
      </c>
    </row>
    <row r="82" spans="8:9" x14ac:dyDescent="0.25">
      <c r="H82" t="s">
        <v>263</v>
      </c>
      <c r="I82" t="s">
        <v>196</v>
      </c>
    </row>
    <row r="83" spans="8:9" x14ac:dyDescent="0.25">
      <c r="H83" t="s">
        <v>264</v>
      </c>
      <c r="I83" t="s">
        <v>201</v>
      </c>
    </row>
    <row r="84" spans="8:9" x14ac:dyDescent="0.25">
      <c r="H84" t="s">
        <v>163</v>
      </c>
      <c r="I84" t="s">
        <v>201</v>
      </c>
    </row>
    <row r="85" spans="8:9" x14ac:dyDescent="0.25">
      <c r="H85" t="s">
        <v>265</v>
      </c>
      <c r="I85" t="s">
        <v>196</v>
      </c>
    </row>
    <row r="86" spans="8:9" x14ac:dyDescent="0.25">
      <c r="H86" t="s">
        <v>192</v>
      </c>
      <c r="I86" t="s">
        <v>196</v>
      </c>
    </row>
    <row r="87" spans="8:9" x14ac:dyDescent="0.25">
      <c r="H87" t="s">
        <v>266</v>
      </c>
      <c r="I87" t="s">
        <v>196</v>
      </c>
    </row>
    <row r="88" spans="8:9" x14ac:dyDescent="0.25">
      <c r="H88" t="s">
        <v>267</v>
      </c>
      <c r="I88" t="s">
        <v>196</v>
      </c>
    </row>
    <row r="89" spans="8:9" x14ac:dyDescent="0.25">
      <c r="H89" t="s">
        <v>146</v>
      </c>
      <c r="I89" t="s">
        <v>196</v>
      </c>
    </row>
    <row r="90" spans="8:9" x14ac:dyDescent="0.25">
      <c r="H90" t="s">
        <v>181</v>
      </c>
      <c r="I90" t="s">
        <v>196</v>
      </c>
    </row>
    <row r="91" spans="8:9" x14ac:dyDescent="0.25">
      <c r="H91" t="s">
        <v>268</v>
      </c>
      <c r="I91" t="s">
        <v>201</v>
      </c>
    </row>
    <row r="92" spans="8:9" x14ac:dyDescent="0.25">
      <c r="H92" t="s">
        <v>269</v>
      </c>
      <c r="I92" t="s">
        <v>196</v>
      </c>
    </row>
    <row r="93" spans="8:9" x14ac:dyDescent="0.25">
      <c r="H93" t="s">
        <v>270</v>
      </c>
      <c r="I93" t="s">
        <v>196</v>
      </c>
    </row>
    <row r="94" spans="8:9" x14ac:dyDescent="0.25">
      <c r="H94" t="s">
        <v>271</v>
      </c>
      <c r="I94" t="s">
        <v>196</v>
      </c>
    </row>
    <row r="95" spans="8:9" x14ac:dyDescent="0.25">
      <c r="H95" t="s">
        <v>166</v>
      </c>
      <c r="I95" t="s">
        <v>196</v>
      </c>
    </row>
    <row r="96" spans="8:9" x14ac:dyDescent="0.25">
      <c r="H96" t="s">
        <v>156</v>
      </c>
      <c r="I96" t="s">
        <v>196</v>
      </c>
    </row>
    <row r="97" spans="8:9" x14ac:dyDescent="0.25">
      <c r="H97" t="s">
        <v>272</v>
      </c>
      <c r="I97" t="s">
        <v>196</v>
      </c>
    </row>
    <row r="98" spans="8:9" x14ac:dyDescent="0.25">
      <c r="H98" t="s">
        <v>273</v>
      </c>
      <c r="I98" t="s">
        <v>201</v>
      </c>
    </row>
    <row r="99" spans="8:9" x14ac:dyDescent="0.25">
      <c r="H99" t="s">
        <v>274</v>
      </c>
      <c r="I99" t="s">
        <v>196</v>
      </c>
    </row>
    <row r="100" spans="8:9" x14ac:dyDescent="0.25">
      <c r="H100" t="s">
        <v>275</v>
      </c>
      <c r="I100" t="s">
        <v>196</v>
      </c>
    </row>
    <row r="101" spans="8:9" x14ac:dyDescent="0.25">
      <c r="H101" t="s">
        <v>276</v>
      </c>
      <c r="I101" t="s">
        <v>196</v>
      </c>
    </row>
    <row r="102" spans="8:9" x14ac:dyDescent="0.25">
      <c r="H102" t="s">
        <v>277</v>
      </c>
      <c r="I102" t="s">
        <v>196</v>
      </c>
    </row>
    <row r="103" spans="8:9" x14ac:dyDescent="0.25">
      <c r="H103" t="s">
        <v>278</v>
      </c>
      <c r="I103" t="s">
        <v>196</v>
      </c>
    </row>
    <row r="104" spans="8:9" x14ac:dyDescent="0.25">
      <c r="H104" t="s">
        <v>279</v>
      </c>
      <c r="I104" t="s">
        <v>201</v>
      </c>
    </row>
    <row r="105" spans="8:9" x14ac:dyDescent="0.25">
      <c r="H105" t="s">
        <v>280</v>
      </c>
      <c r="I105" t="s">
        <v>196</v>
      </c>
    </row>
    <row r="106" spans="8:9" x14ac:dyDescent="0.25">
      <c r="H106" t="s">
        <v>281</v>
      </c>
      <c r="I106" t="s">
        <v>196</v>
      </c>
    </row>
    <row r="107" spans="8:9" x14ac:dyDescent="0.25">
      <c r="H107" t="s">
        <v>282</v>
      </c>
      <c r="I107" t="s">
        <v>196</v>
      </c>
    </row>
    <row r="108" spans="8:9" x14ac:dyDescent="0.25">
      <c r="H108" t="s">
        <v>283</v>
      </c>
      <c r="I108" t="s">
        <v>196</v>
      </c>
    </row>
    <row r="109" spans="8:9" x14ac:dyDescent="0.25">
      <c r="H109" t="s">
        <v>284</v>
      </c>
      <c r="I109" t="s">
        <v>196</v>
      </c>
    </row>
    <row r="110" spans="8:9" x14ac:dyDescent="0.25">
      <c r="H110" t="s">
        <v>285</v>
      </c>
      <c r="I110" t="s">
        <v>196</v>
      </c>
    </row>
    <row r="111" spans="8:9" x14ac:dyDescent="0.25">
      <c r="H111" t="s">
        <v>286</v>
      </c>
      <c r="I111" t="s">
        <v>196</v>
      </c>
    </row>
    <row r="112" spans="8:9" x14ac:dyDescent="0.25">
      <c r="H112" t="s">
        <v>287</v>
      </c>
      <c r="I112" t="s">
        <v>196</v>
      </c>
    </row>
    <row r="113" spans="8:9" x14ac:dyDescent="0.25">
      <c r="H113" t="s">
        <v>288</v>
      </c>
      <c r="I113" t="s">
        <v>196</v>
      </c>
    </row>
    <row r="114" spans="8:9" x14ac:dyDescent="0.25">
      <c r="H114" t="s">
        <v>289</v>
      </c>
      <c r="I114" t="s">
        <v>196</v>
      </c>
    </row>
    <row r="115" spans="8:9" x14ac:dyDescent="0.25">
      <c r="H115" t="s">
        <v>290</v>
      </c>
      <c r="I115" t="s">
        <v>201</v>
      </c>
    </row>
    <row r="116" spans="8:9" x14ac:dyDescent="0.25">
      <c r="H116" t="s">
        <v>291</v>
      </c>
      <c r="I116" t="s">
        <v>196</v>
      </c>
    </row>
    <row r="117" spans="8:9" x14ac:dyDescent="0.25">
      <c r="H117" t="s">
        <v>292</v>
      </c>
      <c r="I117" t="s">
        <v>196</v>
      </c>
    </row>
    <row r="118" spans="8:9" x14ac:dyDescent="0.25">
      <c r="H118" t="s">
        <v>293</v>
      </c>
      <c r="I118" t="s">
        <v>196</v>
      </c>
    </row>
    <row r="119" spans="8:9" x14ac:dyDescent="0.25">
      <c r="H119" t="s">
        <v>294</v>
      </c>
      <c r="I119" t="s">
        <v>196</v>
      </c>
    </row>
    <row r="120" spans="8:9" x14ac:dyDescent="0.25">
      <c r="H120" t="s">
        <v>295</v>
      </c>
      <c r="I120" t="s">
        <v>196</v>
      </c>
    </row>
    <row r="121" spans="8:9" x14ac:dyDescent="0.25">
      <c r="H121" t="s">
        <v>296</v>
      </c>
      <c r="I121" t="s">
        <v>196</v>
      </c>
    </row>
    <row r="122" spans="8:9" x14ac:dyDescent="0.25">
      <c r="H122" t="s">
        <v>297</v>
      </c>
      <c r="I122" t="s">
        <v>196</v>
      </c>
    </row>
    <row r="123" spans="8:9" x14ac:dyDescent="0.25">
      <c r="H123" t="s">
        <v>298</v>
      </c>
      <c r="I123" t="s">
        <v>196</v>
      </c>
    </row>
    <row r="124" spans="8:9" x14ac:dyDescent="0.25">
      <c r="H124" t="s">
        <v>299</v>
      </c>
      <c r="I124" t="s">
        <v>300</v>
      </c>
    </row>
    <row r="125" spans="8:9" x14ac:dyDescent="0.25">
      <c r="H125" t="s">
        <v>301</v>
      </c>
      <c r="I125" t="s">
        <v>201</v>
      </c>
    </row>
    <row r="126" spans="8:9" x14ac:dyDescent="0.25">
      <c r="H126" t="s">
        <v>302</v>
      </c>
      <c r="I126" t="s">
        <v>196</v>
      </c>
    </row>
    <row r="127" spans="8:9" x14ac:dyDescent="0.25">
      <c r="H127" t="s">
        <v>303</v>
      </c>
      <c r="I127" t="s">
        <v>201</v>
      </c>
    </row>
    <row r="128" spans="8:9" x14ac:dyDescent="0.25">
      <c r="H128" t="s">
        <v>304</v>
      </c>
      <c r="I128" t="s">
        <v>196</v>
      </c>
    </row>
    <row r="129" spans="8:9" x14ac:dyDescent="0.25">
      <c r="H129" t="s">
        <v>305</v>
      </c>
      <c r="I129" t="s">
        <v>201</v>
      </c>
    </row>
    <row r="130" spans="8:9" x14ac:dyDescent="0.25">
      <c r="H130" t="s">
        <v>306</v>
      </c>
      <c r="I130" t="s">
        <v>201</v>
      </c>
    </row>
    <row r="131" spans="8:9" x14ac:dyDescent="0.25">
      <c r="H131" t="s">
        <v>307</v>
      </c>
      <c r="I131" t="s">
        <v>201</v>
      </c>
    </row>
    <row r="132" spans="8:9" x14ac:dyDescent="0.25">
      <c r="H132" t="s">
        <v>308</v>
      </c>
      <c r="I132" t="s">
        <v>226</v>
      </c>
    </row>
    <row r="133" spans="8:9" x14ac:dyDescent="0.25">
      <c r="H133" t="s">
        <v>309</v>
      </c>
      <c r="I133" t="s">
        <v>201</v>
      </c>
    </row>
    <row r="134" spans="8:9" x14ac:dyDescent="0.25">
      <c r="H134" t="s">
        <v>310</v>
      </c>
      <c r="I134" t="s">
        <v>201</v>
      </c>
    </row>
    <row r="135" spans="8:9" x14ac:dyDescent="0.25">
      <c r="H135" t="s">
        <v>311</v>
      </c>
      <c r="I135" t="s">
        <v>201</v>
      </c>
    </row>
    <row r="136" spans="8:9" x14ac:dyDescent="0.25">
      <c r="H136" t="s">
        <v>312</v>
      </c>
      <c r="I136" t="s">
        <v>196</v>
      </c>
    </row>
    <row r="137" spans="8:9" x14ac:dyDescent="0.25">
      <c r="H137" t="s">
        <v>313</v>
      </c>
      <c r="I137" t="s">
        <v>201</v>
      </c>
    </row>
    <row r="138" spans="8:9" x14ac:dyDescent="0.25">
      <c r="H138" t="s">
        <v>314</v>
      </c>
      <c r="I138" t="s">
        <v>196</v>
      </c>
    </row>
    <row r="139" spans="8:9" x14ac:dyDescent="0.25">
      <c r="H139" t="s">
        <v>315</v>
      </c>
      <c r="I139" t="s">
        <v>196</v>
      </c>
    </row>
    <row r="140" spans="8:9" x14ac:dyDescent="0.25">
      <c r="H140" t="s">
        <v>316</v>
      </c>
      <c r="I140" t="s">
        <v>201</v>
      </c>
    </row>
    <row r="141" spans="8:9" x14ac:dyDescent="0.25">
      <c r="H141" t="s">
        <v>317</v>
      </c>
      <c r="I141" t="s">
        <v>196</v>
      </c>
    </row>
    <row r="142" spans="8:9" x14ac:dyDescent="0.25">
      <c r="H142" t="s">
        <v>318</v>
      </c>
      <c r="I142" t="s">
        <v>196</v>
      </c>
    </row>
    <row r="143" spans="8:9" x14ac:dyDescent="0.25">
      <c r="H143" t="s">
        <v>319</v>
      </c>
      <c r="I143" t="s">
        <v>201</v>
      </c>
    </row>
    <row r="144" spans="8:9" x14ac:dyDescent="0.25">
      <c r="H144" t="s">
        <v>320</v>
      </c>
      <c r="I144" t="s">
        <v>201</v>
      </c>
    </row>
    <row r="145" spans="8:9" x14ac:dyDescent="0.25">
      <c r="H145" t="s">
        <v>321</v>
      </c>
      <c r="I145" t="s">
        <v>208</v>
      </c>
    </row>
    <row r="146" spans="8:9" x14ac:dyDescent="0.25">
      <c r="H146" t="s">
        <v>322</v>
      </c>
      <c r="I146" t="s">
        <v>201</v>
      </c>
    </row>
    <row r="147" spans="8:9" x14ac:dyDescent="0.25">
      <c r="H147" t="s">
        <v>323</v>
      </c>
      <c r="I147" t="s">
        <v>201</v>
      </c>
    </row>
    <row r="148" spans="8:9" x14ac:dyDescent="0.25">
      <c r="H148" t="s">
        <v>324</v>
      </c>
      <c r="I148" t="s">
        <v>201</v>
      </c>
    </row>
    <row r="149" spans="8:9" x14ac:dyDescent="0.25">
      <c r="H149" t="s">
        <v>325</v>
      </c>
      <c r="I149" t="s">
        <v>196</v>
      </c>
    </row>
    <row r="150" spans="8:9" x14ac:dyDescent="0.25">
      <c r="H150" t="s">
        <v>326</v>
      </c>
      <c r="I150" t="s">
        <v>196</v>
      </c>
    </row>
    <row r="151" spans="8:9" x14ac:dyDescent="0.25">
      <c r="H151" t="s">
        <v>327</v>
      </c>
      <c r="I151" t="s">
        <v>196</v>
      </c>
    </row>
    <row r="152" spans="8:9" x14ac:dyDescent="0.25">
      <c r="H152" t="s">
        <v>328</v>
      </c>
      <c r="I152" t="s">
        <v>196</v>
      </c>
    </row>
    <row r="153" spans="8:9" x14ac:dyDescent="0.25">
      <c r="H153" t="s">
        <v>329</v>
      </c>
      <c r="I153" t="s">
        <v>196</v>
      </c>
    </row>
    <row r="154" spans="8:9" x14ac:dyDescent="0.25">
      <c r="H154" t="s">
        <v>330</v>
      </c>
      <c r="I154" t="s">
        <v>196</v>
      </c>
    </row>
    <row r="155" spans="8:9" x14ac:dyDescent="0.25">
      <c r="H155" t="s">
        <v>331</v>
      </c>
      <c r="I155" t="s">
        <v>196</v>
      </c>
    </row>
    <row r="156" spans="8:9" x14ac:dyDescent="0.25">
      <c r="H156" t="s">
        <v>332</v>
      </c>
      <c r="I156" t="s">
        <v>196</v>
      </c>
    </row>
    <row r="157" spans="8:9" x14ac:dyDescent="0.25">
      <c r="H157" t="s">
        <v>333</v>
      </c>
      <c r="I157" t="s">
        <v>196</v>
      </c>
    </row>
    <row r="158" spans="8:9" x14ac:dyDescent="0.25">
      <c r="H158" t="s">
        <v>334</v>
      </c>
      <c r="I158" t="s">
        <v>196</v>
      </c>
    </row>
    <row r="159" spans="8:9" x14ac:dyDescent="0.25">
      <c r="H159" t="s">
        <v>335</v>
      </c>
      <c r="I159" t="s">
        <v>196</v>
      </c>
    </row>
    <row r="160" spans="8:9" x14ac:dyDescent="0.25">
      <c r="H160" t="s">
        <v>336</v>
      </c>
      <c r="I160" t="s">
        <v>196</v>
      </c>
    </row>
    <row r="161" spans="8:9" x14ac:dyDescent="0.25">
      <c r="H161" t="s">
        <v>165</v>
      </c>
      <c r="I161" t="s">
        <v>196</v>
      </c>
    </row>
    <row r="162" spans="8:9" x14ac:dyDescent="0.25">
      <c r="H162" t="s">
        <v>337</v>
      </c>
      <c r="I162" t="s">
        <v>196</v>
      </c>
    </row>
    <row r="163" spans="8:9" x14ac:dyDescent="0.25">
      <c r="H163" t="s">
        <v>338</v>
      </c>
      <c r="I163" t="s">
        <v>196</v>
      </c>
    </row>
    <row r="164" spans="8:9" x14ac:dyDescent="0.25">
      <c r="H164" t="s">
        <v>339</v>
      </c>
      <c r="I164" t="s">
        <v>201</v>
      </c>
    </row>
    <row r="165" spans="8:9" x14ac:dyDescent="0.25">
      <c r="H165" t="s">
        <v>340</v>
      </c>
      <c r="I165" t="s">
        <v>201</v>
      </c>
    </row>
    <row r="166" spans="8:9" x14ac:dyDescent="0.25">
      <c r="H166" t="s">
        <v>341</v>
      </c>
      <c r="I166" t="s">
        <v>196</v>
      </c>
    </row>
    <row r="167" spans="8:9" x14ac:dyDescent="0.25">
      <c r="H167" t="s">
        <v>342</v>
      </c>
      <c r="I167" t="s">
        <v>196</v>
      </c>
    </row>
    <row r="168" spans="8:9" x14ac:dyDescent="0.25">
      <c r="H168" t="s">
        <v>343</v>
      </c>
      <c r="I168" t="s">
        <v>196</v>
      </c>
    </row>
    <row r="169" spans="8:9" x14ac:dyDescent="0.25">
      <c r="H169" t="s">
        <v>344</v>
      </c>
      <c r="I169" t="s">
        <v>196</v>
      </c>
    </row>
    <row r="170" spans="8:9" x14ac:dyDescent="0.25">
      <c r="H170" t="s">
        <v>345</v>
      </c>
      <c r="I170" t="s">
        <v>196</v>
      </c>
    </row>
    <row r="171" spans="8:9" x14ac:dyDescent="0.25">
      <c r="H171" t="s">
        <v>346</v>
      </c>
      <c r="I171" t="s">
        <v>201</v>
      </c>
    </row>
    <row r="172" spans="8:9" x14ac:dyDescent="0.25">
      <c r="H172" t="s">
        <v>347</v>
      </c>
      <c r="I172" t="s">
        <v>196</v>
      </c>
    </row>
    <row r="173" spans="8:9" x14ac:dyDescent="0.25">
      <c r="H173" t="s">
        <v>348</v>
      </c>
      <c r="I173" t="s">
        <v>196</v>
      </c>
    </row>
    <row r="174" spans="8:9" x14ac:dyDescent="0.25">
      <c r="H174" t="s">
        <v>349</v>
      </c>
      <c r="I174" t="s">
        <v>201</v>
      </c>
    </row>
    <row r="175" spans="8:9" x14ac:dyDescent="0.25">
      <c r="H175" t="s">
        <v>350</v>
      </c>
      <c r="I175" t="s">
        <v>196</v>
      </c>
    </row>
    <row r="176" spans="8:9" x14ac:dyDescent="0.25">
      <c r="H176" t="s">
        <v>351</v>
      </c>
      <c r="I176" t="s">
        <v>196</v>
      </c>
    </row>
    <row r="177" spans="8:9" x14ac:dyDescent="0.25">
      <c r="H177" t="s">
        <v>352</v>
      </c>
      <c r="I177" t="s">
        <v>196</v>
      </c>
    </row>
    <row r="178" spans="8:9" x14ac:dyDescent="0.25">
      <c r="H178" t="s">
        <v>353</v>
      </c>
      <c r="I178" t="s">
        <v>196</v>
      </c>
    </row>
    <row r="179" spans="8:9" x14ac:dyDescent="0.25">
      <c r="H179" t="s">
        <v>354</v>
      </c>
      <c r="I179" t="s">
        <v>201</v>
      </c>
    </row>
    <row r="180" spans="8:9" x14ac:dyDescent="0.25">
      <c r="H180" t="s">
        <v>355</v>
      </c>
      <c r="I180" t="s">
        <v>196</v>
      </c>
    </row>
    <row r="181" spans="8:9" x14ac:dyDescent="0.25">
      <c r="H181" t="s">
        <v>356</v>
      </c>
      <c r="I181" t="s">
        <v>196</v>
      </c>
    </row>
    <row r="182" spans="8:9" x14ac:dyDescent="0.25">
      <c r="H182" t="s">
        <v>357</v>
      </c>
      <c r="I182" t="s">
        <v>226</v>
      </c>
    </row>
    <row r="183" spans="8:9" x14ac:dyDescent="0.25">
      <c r="H183" t="s">
        <v>358</v>
      </c>
      <c r="I183" t="s">
        <v>201</v>
      </c>
    </row>
    <row r="184" spans="8:9" x14ac:dyDescent="0.25">
      <c r="H184" t="s">
        <v>359</v>
      </c>
      <c r="I184" t="s">
        <v>196</v>
      </c>
    </row>
    <row r="185" spans="8:9" x14ac:dyDescent="0.25">
      <c r="H185" t="s">
        <v>360</v>
      </c>
      <c r="I185" t="s">
        <v>201</v>
      </c>
    </row>
    <row r="186" spans="8:9" x14ac:dyDescent="0.25">
      <c r="H186" t="s">
        <v>361</v>
      </c>
      <c r="I186" t="s">
        <v>201</v>
      </c>
    </row>
    <row r="187" spans="8:9" x14ac:dyDescent="0.25">
      <c r="H187" t="s">
        <v>362</v>
      </c>
      <c r="I187" t="s">
        <v>196</v>
      </c>
    </row>
    <row r="188" spans="8:9" x14ac:dyDescent="0.25">
      <c r="H188" t="s">
        <v>363</v>
      </c>
      <c r="I188" t="s">
        <v>201</v>
      </c>
    </row>
    <row r="189" spans="8:9" x14ac:dyDescent="0.25">
      <c r="H189" t="s">
        <v>364</v>
      </c>
      <c r="I189" t="s">
        <v>196</v>
      </c>
    </row>
    <row r="190" spans="8:9" x14ac:dyDescent="0.25">
      <c r="H190" t="s">
        <v>189</v>
      </c>
      <c r="I190" t="s">
        <v>196</v>
      </c>
    </row>
    <row r="191" spans="8:9" x14ac:dyDescent="0.25">
      <c r="H191" t="s">
        <v>147</v>
      </c>
      <c r="I191" t="s">
        <v>196</v>
      </c>
    </row>
    <row r="192" spans="8:9" x14ac:dyDescent="0.25">
      <c r="H192" t="s">
        <v>365</v>
      </c>
      <c r="I192" t="s">
        <v>196</v>
      </c>
    </row>
    <row r="193" spans="8:9" x14ac:dyDescent="0.25">
      <c r="H193" t="s">
        <v>366</v>
      </c>
      <c r="I193" t="s">
        <v>196</v>
      </c>
    </row>
    <row r="194" spans="8:9" x14ac:dyDescent="0.25">
      <c r="H194" t="s">
        <v>191</v>
      </c>
      <c r="I194" t="s">
        <v>196</v>
      </c>
    </row>
    <row r="195" spans="8:9" x14ac:dyDescent="0.25">
      <c r="H195" t="s">
        <v>367</v>
      </c>
      <c r="I195" t="s">
        <v>196</v>
      </c>
    </row>
    <row r="196" spans="8:9" x14ac:dyDescent="0.25">
      <c r="H196" t="s">
        <v>186</v>
      </c>
      <c r="I196" t="s">
        <v>201</v>
      </c>
    </row>
    <row r="197" spans="8:9" x14ac:dyDescent="0.25">
      <c r="H197" t="s">
        <v>152</v>
      </c>
      <c r="I197" t="s">
        <v>196</v>
      </c>
    </row>
    <row r="198" spans="8:9" x14ac:dyDescent="0.25">
      <c r="H198" t="s">
        <v>368</v>
      </c>
      <c r="I198" t="s">
        <v>196</v>
      </c>
    </row>
    <row r="199" spans="8:9" x14ac:dyDescent="0.25">
      <c r="H199" t="s">
        <v>369</v>
      </c>
      <c r="I199" t="s">
        <v>196</v>
      </c>
    </row>
    <row r="200" spans="8:9" x14ac:dyDescent="0.25">
      <c r="H200" t="s">
        <v>157</v>
      </c>
      <c r="I200" t="s">
        <v>201</v>
      </c>
    </row>
    <row r="201" spans="8:9" x14ac:dyDescent="0.25">
      <c r="H201" t="s">
        <v>370</v>
      </c>
      <c r="I201" t="s">
        <v>201</v>
      </c>
    </row>
    <row r="202" spans="8:9" x14ac:dyDescent="0.25">
      <c r="H202" t="s">
        <v>371</v>
      </c>
      <c r="I202" t="s">
        <v>196</v>
      </c>
    </row>
    <row r="203" spans="8:9" x14ac:dyDescent="0.25">
      <c r="H203" t="s">
        <v>154</v>
      </c>
      <c r="I203" t="s">
        <v>196</v>
      </c>
    </row>
    <row r="204" spans="8:9" x14ac:dyDescent="0.25">
      <c r="H204" t="s">
        <v>372</v>
      </c>
      <c r="I204" t="s">
        <v>201</v>
      </c>
    </row>
    <row r="205" spans="8:9" x14ac:dyDescent="0.25">
      <c r="H205" t="s">
        <v>373</v>
      </c>
      <c r="I205" t="s">
        <v>196</v>
      </c>
    </row>
    <row r="206" spans="8:9" x14ac:dyDescent="0.25">
      <c r="H206" t="s">
        <v>374</v>
      </c>
      <c r="I206" t="s">
        <v>196</v>
      </c>
    </row>
    <row r="207" spans="8:9" x14ac:dyDescent="0.25">
      <c r="H207" t="s">
        <v>375</v>
      </c>
      <c r="I207" t="s">
        <v>196</v>
      </c>
    </row>
    <row r="208" spans="8:9" x14ac:dyDescent="0.25">
      <c r="H208" t="s">
        <v>376</v>
      </c>
      <c r="I208" t="s">
        <v>196</v>
      </c>
    </row>
    <row r="209" spans="8:9" x14ac:dyDescent="0.25">
      <c r="H209" t="s">
        <v>377</v>
      </c>
      <c r="I209" t="s">
        <v>196</v>
      </c>
    </row>
    <row r="210" spans="8:9" x14ac:dyDescent="0.25">
      <c r="H210" t="s">
        <v>378</v>
      </c>
      <c r="I210" t="s">
        <v>196</v>
      </c>
    </row>
    <row r="211" spans="8:9" x14ac:dyDescent="0.25">
      <c r="H211" t="s">
        <v>379</v>
      </c>
      <c r="I211" t="s">
        <v>196</v>
      </c>
    </row>
    <row r="212" spans="8:9" x14ac:dyDescent="0.25">
      <c r="H212" t="s">
        <v>380</v>
      </c>
      <c r="I212" t="s">
        <v>201</v>
      </c>
    </row>
    <row r="213" spans="8:9" x14ac:dyDescent="0.25">
      <c r="H213" t="s">
        <v>381</v>
      </c>
      <c r="I213" t="s">
        <v>226</v>
      </c>
    </row>
    <row r="214" spans="8:9" x14ac:dyDescent="0.25">
      <c r="H214" t="s">
        <v>382</v>
      </c>
      <c r="I214" t="s">
        <v>196</v>
      </c>
    </row>
    <row r="215" spans="8:9" x14ac:dyDescent="0.25">
      <c r="H215" t="s">
        <v>383</v>
      </c>
      <c r="I215" t="s">
        <v>201</v>
      </c>
    </row>
    <row r="216" spans="8:9" x14ac:dyDescent="0.25">
      <c r="H216" t="s">
        <v>384</v>
      </c>
      <c r="I216" t="s">
        <v>196</v>
      </c>
    </row>
    <row r="217" spans="8:9" x14ac:dyDescent="0.25">
      <c r="H217" t="s">
        <v>385</v>
      </c>
      <c r="I217" t="s">
        <v>196</v>
      </c>
    </row>
    <row r="218" spans="8:9" x14ac:dyDescent="0.25">
      <c r="H218" t="s">
        <v>386</v>
      </c>
      <c r="I218" t="s">
        <v>196</v>
      </c>
    </row>
    <row r="219" spans="8:9" x14ac:dyDescent="0.25">
      <c r="H219" t="s">
        <v>387</v>
      </c>
      <c r="I219" t="s">
        <v>196</v>
      </c>
    </row>
    <row r="220" spans="8:9" x14ac:dyDescent="0.25">
      <c r="H220" t="s">
        <v>162</v>
      </c>
      <c r="I220" t="s">
        <v>196</v>
      </c>
    </row>
    <row r="221" spans="8:9" x14ac:dyDescent="0.25">
      <c r="H221" t="s">
        <v>388</v>
      </c>
      <c r="I221" t="s">
        <v>201</v>
      </c>
    </row>
    <row r="222" spans="8:9" x14ac:dyDescent="0.25">
      <c r="H222" t="s">
        <v>389</v>
      </c>
      <c r="I222" t="s">
        <v>196</v>
      </c>
    </row>
    <row r="223" spans="8:9" x14ac:dyDescent="0.25">
      <c r="H223" t="s">
        <v>390</v>
      </c>
      <c r="I223" t="s">
        <v>196</v>
      </c>
    </row>
    <row r="224" spans="8:9" x14ac:dyDescent="0.25">
      <c r="H224" t="s">
        <v>391</v>
      </c>
      <c r="I224" t="s">
        <v>196</v>
      </c>
    </row>
    <row r="225" spans="8:9" x14ac:dyDescent="0.25">
      <c r="H225" t="s">
        <v>392</v>
      </c>
      <c r="I225" t="s">
        <v>215</v>
      </c>
    </row>
    <row r="226" spans="8:9" x14ac:dyDescent="0.25">
      <c r="H226" t="s">
        <v>393</v>
      </c>
      <c r="I226" t="s">
        <v>215</v>
      </c>
    </row>
    <row r="227" spans="8:9" x14ac:dyDescent="0.25">
      <c r="H227" t="s">
        <v>394</v>
      </c>
      <c r="I227" t="s">
        <v>196</v>
      </c>
    </row>
    <row r="228" spans="8:9" x14ac:dyDescent="0.25">
      <c r="H228" t="s">
        <v>395</v>
      </c>
      <c r="I228" t="s">
        <v>226</v>
      </c>
    </row>
    <row r="229" spans="8:9" x14ac:dyDescent="0.25">
      <c r="H229" t="s">
        <v>396</v>
      </c>
      <c r="I229" t="s">
        <v>226</v>
      </c>
    </row>
    <row r="230" spans="8:9" x14ac:dyDescent="0.25">
      <c r="H230" t="s">
        <v>397</v>
      </c>
      <c r="I230" t="s">
        <v>196</v>
      </c>
    </row>
    <row r="231" spans="8:9" x14ac:dyDescent="0.25">
      <c r="H231" t="s">
        <v>398</v>
      </c>
      <c r="I231" t="s">
        <v>196</v>
      </c>
    </row>
    <row r="232" spans="8:9" x14ac:dyDescent="0.25">
      <c r="H232" t="s">
        <v>399</v>
      </c>
      <c r="I232" t="s">
        <v>196</v>
      </c>
    </row>
    <row r="233" spans="8:9" x14ac:dyDescent="0.25">
      <c r="H233" t="s">
        <v>400</v>
      </c>
      <c r="I233" t="s">
        <v>196</v>
      </c>
    </row>
    <row r="234" spans="8:9" x14ac:dyDescent="0.25">
      <c r="H234" t="s">
        <v>401</v>
      </c>
      <c r="I234" t="s">
        <v>226</v>
      </c>
    </row>
    <row r="235" spans="8:9" x14ac:dyDescent="0.25">
      <c r="H235" t="s">
        <v>402</v>
      </c>
      <c r="I235" t="s">
        <v>226</v>
      </c>
    </row>
    <row r="236" spans="8:9" x14ac:dyDescent="0.25">
      <c r="H236" t="s">
        <v>403</v>
      </c>
      <c r="I236" t="s">
        <v>201</v>
      </c>
    </row>
    <row r="237" spans="8:9" x14ac:dyDescent="0.25">
      <c r="H237" t="s">
        <v>404</v>
      </c>
      <c r="I237" t="s">
        <v>201</v>
      </c>
    </row>
    <row r="238" spans="8:9" x14ac:dyDescent="0.25">
      <c r="H238" t="s">
        <v>405</v>
      </c>
      <c r="I238" t="s">
        <v>201</v>
      </c>
    </row>
    <row r="239" spans="8:9" x14ac:dyDescent="0.25">
      <c r="H239" t="s">
        <v>406</v>
      </c>
      <c r="I239" t="s">
        <v>300</v>
      </c>
    </row>
    <row r="240" spans="8:9" x14ac:dyDescent="0.25">
      <c r="H240" t="s">
        <v>407</v>
      </c>
      <c r="I240" t="s">
        <v>196</v>
      </c>
    </row>
    <row r="241" spans="8:9" x14ac:dyDescent="0.25">
      <c r="H241" t="s">
        <v>408</v>
      </c>
      <c r="I241" t="s">
        <v>196</v>
      </c>
    </row>
    <row r="242" spans="8:9" x14ac:dyDescent="0.25">
      <c r="H242" t="s">
        <v>409</v>
      </c>
      <c r="I242" t="s">
        <v>201</v>
      </c>
    </row>
    <row r="243" spans="8:9" x14ac:dyDescent="0.25">
      <c r="H243" t="s">
        <v>167</v>
      </c>
      <c r="I243" t="s">
        <v>201</v>
      </c>
    </row>
    <row r="244" spans="8:9" x14ac:dyDescent="0.25">
      <c r="H244" t="s">
        <v>410</v>
      </c>
      <c r="I244" t="s">
        <v>300</v>
      </c>
    </row>
    <row r="245" spans="8:9" x14ac:dyDescent="0.25">
      <c r="H245" t="s">
        <v>411</v>
      </c>
      <c r="I245" t="s">
        <v>201</v>
      </c>
    </row>
    <row r="246" spans="8:9" x14ac:dyDescent="0.25">
      <c r="H246" t="s">
        <v>412</v>
      </c>
      <c r="I246" t="s">
        <v>201</v>
      </c>
    </row>
    <row r="247" spans="8:9" x14ac:dyDescent="0.25">
      <c r="H247" t="s">
        <v>413</v>
      </c>
      <c r="I247" t="s">
        <v>201</v>
      </c>
    </row>
    <row r="248" spans="8:9" x14ac:dyDescent="0.25">
      <c r="H248" t="s">
        <v>414</v>
      </c>
      <c r="I248" t="s">
        <v>201</v>
      </c>
    </row>
    <row r="249" spans="8:9" x14ac:dyDescent="0.25">
      <c r="H249" t="s">
        <v>415</v>
      </c>
      <c r="I249" t="s">
        <v>201</v>
      </c>
    </row>
    <row r="250" spans="8:9" x14ac:dyDescent="0.25">
      <c r="H250" t="s">
        <v>416</v>
      </c>
      <c r="I250" t="s">
        <v>201</v>
      </c>
    </row>
    <row r="251" spans="8:9" x14ac:dyDescent="0.25">
      <c r="H251" t="s">
        <v>417</v>
      </c>
      <c r="I251" t="s">
        <v>201</v>
      </c>
    </row>
    <row r="252" spans="8:9" x14ac:dyDescent="0.25">
      <c r="H252" t="s">
        <v>418</v>
      </c>
      <c r="I252" t="s">
        <v>196</v>
      </c>
    </row>
    <row r="253" spans="8:9" x14ac:dyDescent="0.25">
      <c r="H253" t="s">
        <v>419</v>
      </c>
      <c r="I253" t="s">
        <v>196</v>
      </c>
    </row>
    <row r="254" spans="8:9" x14ac:dyDescent="0.25">
      <c r="H254" t="s">
        <v>420</v>
      </c>
      <c r="I254" t="s">
        <v>201</v>
      </c>
    </row>
    <row r="255" spans="8:9" x14ac:dyDescent="0.25">
      <c r="H255" t="s">
        <v>421</v>
      </c>
      <c r="I255" t="s">
        <v>201</v>
      </c>
    </row>
    <row r="256" spans="8:9" x14ac:dyDescent="0.25">
      <c r="H256" t="s">
        <v>422</v>
      </c>
      <c r="I256" t="s">
        <v>208</v>
      </c>
    </row>
    <row r="257" spans="8:9" x14ac:dyDescent="0.25">
      <c r="H257" t="s">
        <v>423</v>
      </c>
      <c r="I257" t="s">
        <v>196</v>
      </c>
    </row>
    <row r="258" spans="8:9" x14ac:dyDescent="0.25">
      <c r="H258" t="s">
        <v>424</v>
      </c>
      <c r="I258" t="s">
        <v>201</v>
      </c>
    </row>
    <row r="259" spans="8:9" x14ac:dyDescent="0.25">
      <c r="H259" t="s">
        <v>425</v>
      </c>
      <c r="I259" t="s">
        <v>201</v>
      </c>
    </row>
    <row r="260" spans="8:9" x14ac:dyDescent="0.25">
      <c r="H260" t="s">
        <v>426</v>
      </c>
      <c r="I260" t="s">
        <v>201</v>
      </c>
    </row>
    <row r="261" spans="8:9" x14ac:dyDescent="0.25">
      <c r="H261" t="s">
        <v>427</v>
      </c>
      <c r="I261" t="s">
        <v>215</v>
      </c>
    </row>
    <row r="262" spans="8:9" x14ac:dyDescent="0.25">
      <c r="H262" t="s">
        <v>428</v>
      </c>
      <c r="I262" t="s">
        <v>215</v>
      </c>
    </row>
    <row r="263" spans="8:9" x14ac:dyDescent="0.25">
      <c r="H263" t="s">
        <v>429</v>
      </c>
      <c r="I263" t="s">
        <v>215</v>
      </c>
    </row>
    <row r="264" spans="8:9" x14ac:dyDescent="0.25">
      <c r="H264" t="s">
        <v>430</v>
      </c>
      <c r="I264" t="s">
        <v>215</v>
      </c>
    </row>
    <row r="265" spans="8:9" x14ac:dyDescent="0.25">
      <c r="H265" t="s">
        <v>431</v>
      </c>
      <c r="I265" t="s">
        <v>215</v>
      </c>
    </row>
    <row r="266" spans="8:9" x14ac:dyDescent="0.25">
      <c r="H266" t="s">
        <v>432</v>
      </c>
      <c r="I266" t="s">
        <v>215</v>
      </c>
    </row>
    <row r="267" spans="8:9" x14ac:dyDescent="0.25">
      <c r="H267" t="s">
        <v>433</v>
      </c>
      <c r="I267" t="s">
        <v>215</v>
      </c>
    </row>
    <row r="268" spans="8:9" x14ac:dyDescent="0.25">
      <c r="H268" t="s">
        <v>434</v>
      </c>
      <c r="I268" t="s">
        <v>215</v>
      </c>
    </row>
    <row r="269" spans="8:9" x14ac:dyDescent="0.25">
      <c r="H269" t="s">
        <v>435</v>
      </c>
      <c r="I269" t="s">
        <v>215</v>
      </c>
    </row>
    <row r="270" spans="8:9" x14ac:dyDescent="0.25">
      <c r="H270" t="s">
        <v>436</v>
      </c>
      <c r="I270" t="s">
        <v>215</v>
      </c>
    </row>
    <row r="271" spans="8:9" x14ac:dyDescent="0.25">
      <c r="H271" t="s">
        <v>437</v>
      </c>
      <c r="I271" t="s">
        <v>215</v>
      </c>
    </row>
    <row r="272" spans="8:9" x14ac:dyDescent="0.25">
      <c r="H272" t="s">
        <v>438</v>
      </c>
      <c r="I272" t="s">
        <v>215</v>
      </c>
    </row>
    <row r="273" spans="8:9" x14ac:dyDescent="0.25">
      <c r="H273" t="s">
        <v>439</v>
      </c>
      <c r="I273" t="s">
        <v>196</v>
      </c>
    </row>
    <row r="274" spans="8:9" x14ac:dyDescent="0.25">
      <c r="H274" t="s">
        <v>440</v>
      </c>
      <c r="I274" t="s">
        <v>226</v>
      </c>
    </row>
    <row r="275" spans="8:9" x14ac:dyDescent="0.25">
      <c r="H275" t="s">
        <v>441</v>
      </c>
      <c r="I275" t="s">
        <v>196</v>
      </c>
    </row>
    <row r="276" spans="8:9" x14ac:dyDescent="0.25">
      <c r="H276" t="s">
        <v>442</v>
      </c>
      <c r="I276" t="s">
        <v>196</v>
      </c>
    </row>
    <row r="277" spans="8:9" x14ac:dyDescent="0.25">
      <c r="H277" t="s">
        <v>443</v>
      </c>
      <c r="I277" t="s">
        <v>196</v>
      </c>
    </row>
    <row r="278" spans="8:9" x14ac:dyDescent="0.25">
      <c r="H278" t="s">
        <v>444</v>
      </c>
      <c r="I278" t="s">
        <v>201</v>
      </c>
    </row>
    <row r="279" spans="8:9" x14ac:dyDescent="0.25">
      <c r="H279" t="s">
        <v>445</v>
      </c>
      <c r="I279" t="s">
        <v>201</v>
      </c>
    </row>
    <row r="280" spans="8:9" x14ac:dyDescent="0.25">
      <c r="H280" t="s">
        <v>446</v>
      </c>
      <c r="I280" t="s">
        <v>196</v>
      </c>
    </row>
    <row r="281" spans="8:9" x14ac:dyDescent="0.25">
      <c r="H281" t="s">
        <v>447</v>
      </c>
      <c r="I281" t="s">
        <v>196</v>
      </c>
    </row>
    <row r="282" spans="8:9" x14ac:dyDescent="0.25">
      <c r="H282" t="s">
        <v>448</v>
      </c>
      <c r="I282" t="s">
        <v>215</v>
      </c>
    </row>
    <row r="283" spans="8:9" x14ac:dyDescent="0.25">
      <c r="H283" t="s">
        <v>449</v>
      </c>
      <c r="I283" t="s">
        <v>215</v>
      </c>
    </row>
    <row r="284" spans="8:9" x14ac:dyDescent="0.25">
      <c r="H284" t="s">
        <v>450</v>
      </c>
      <c r="I284" t="s">
        <v>215</v>
      </c>
    </row>
    <row r="285" spans="8:9" x14ac:dyDescent="0.25">
      <c r="H285" t="s">
        <v>451</v>
      </c>
      <c r="I285" t="s">
        <v>215</v>
      </c>
    </row>
    <row r="286" spans="8:9" x14ac:dyDescent="0.25">
      <c r="H286" t="s">
        <v>184</v>
      </c>
      <c r="I286" t="s">
        <v>201</v>
      </c>
    </row>
    <row r="287" spans="8:9" x14ac:dyDescent="0.25">
      <c r="H287" t="s">
        <v>452</v>
      </c>
      <c r="I287" t="s">
        <v>196</v>
      </c>
    </row>
    <row r="288" spans="8:9" x14ac:dyDescent="0.25">
      <c r="H288" t="s">
        <v>153</v>
      </c>
      <c r="I288" t="s">
        <v>196</v>
      </c>
    </row>
    <row r="289" spans="8:9" x14ac:dyDescent="0.25">
      <c r="H289" t="s">
        <v>453</v>
      </c>
      <c r="I289" t="s">
        <v>196</v>
      </c>
    </row>
    <row r="290" spans="8:9" x14ac:dyDescent="0.25">
      <c r="H290" t="s">
        <v>454</v>
      </c>
      <c r="I290" t="s">
        <v>196</v>
      </c>
    </row>
    <row r="291" spans="8:9" x14ac:dyDescent="0.25">
      <c r="H291" t="s">
        <v>455</v>
      </c>
      <c r="I291" t="s">
        <v>215</v>
      </c>
    </row>
    <row r="292" spans="8:9" x14ac:dyDescent="0.25">
      <c r="H292" t="s">
        <v>456</v>
      </c>
      <c r="I292" t="s">
        <v>215</v>
      </c>
    </row>
    <row r="293" spans="8:9" x14ac:dyDescent="0.25">
      <c r="H293" t="s">
        <v>457</v>
      </c>
      <c r="I293" t="s">
        <v>215</v>
      </c>
    </row>
    <row r="294" spans="8:9" x14ac:dyDescent="0.25">
      <c r="H294" t="s">
        <v>458</v>
      </c>
      <c r="I294" t="s">
        <v>215</v>
      </c>
    </row>
    <row r="295" spans="8:9" x14ac:dyDescent="0.25">
      <c r="H295" t="s">
        <v>459</v>
      </c>
      <c r="I295" t="s">
        <v>215</v>
      </c>
    </row>
    <row r="296" spans="8:9" x14ac:dyDescent="0.25">
      <c r="H296" t="s">
        <v>460</v>
      </c>
      <c r="I296" t="s">
        <v>215</v>
      </c>
    </row>
    <row r="297" spans="8:9" x14ac:dyDescent="0.25">
      <c r="H297" t="s">
        <v>461</v>
      </c>
      <c r="I297" t="s">
        <v>215</v>
      </c>
    </row>
    <row r="298" spans="8:9" x14ac:dyDescent="0.25">
      <c r="H298" t="s">
        <v>462</v>
      </c>
      <c r="I298" t="s">
        <v>215</v>
      </c>
    </row>
    <row r="299" spans="8:9" x14ac:dyDescent="0.25">
      <c r="H299" t="s">
        <v>463</v>
      </c>
      <c r="I299" t="s">
        <v>215</v>
      </c>
    </row>
    <row r="300" spans="8:9" x14ac:dyDescent="0.25">
      <c r="H300" t="s">
        <v>464</v>
      </c>
      <c r="I300" t="s">
        <v>215</v>
      </c>
    </row>
    <row r="301" spans="8:9" x14ac:dyDescent="0.25">
      <c r="H301" t="s">
        <v>465</v>
      </c>
      <c r="I301" t="s">
        <v>215</v>
      </c>
    </row>
    <row r="302" spans="8:9" x14ac:dyDescent="0.25">
      <c r="H302" t="s">
        <v>466</v>
      </c>
      <c r="I302" t="s">
        <v>215</v>
      </c>
    </row>
    <row r="303" spans="8:9" x14ac:dyDescent="0.25">
      <c r="H303" t="s">
        <v>467</v>
      </c>
      <c r="I303" t="s">
        <v>215</v>
      </c>
    </row>
    <row r="304" spans="8:9" x14ac:dyDescent="0.25">
      <c r="H304" t="s">
        <v>468</v>
      </c>
      <c r="I304" t="s">
        <v>215</v>
      </c>
    </row>
    <row r="305" spans="8:9" x14ac:dyDescent="0.25">
      <c r="H305" t="s">
        <v>469</v>
      </c>
      <c r="I305" t="s">
        <v>215</v>
      </c>
    </row>
    <row r="306" spans="8:9" x14ac:dyDescent="0.25">
      <c r="H306" t="s">
        <v>470</v>
      </c>
      <c r="I306" t="s">
        <v>215</v>
      </c>
    </row>
    <row r="307" spans="8:9" x14ac:dyDescent="0.25">
      <c r="H307" t="s">
        <v>471</v>
      </c>
      <c r="I307" t="s">
        <v>215</v>
      </c>
    </row>
    <row r="308" spans="8:9" x14ac:dyDescent="0.25">
      <c r="H308" t="s">
        <v>472</v>
      </c>
      <c r="I308" t="s">
        <v>215</v>
      </c>
    </row>
    <row r="309" spans="8:9" x14ac:dyDescent="0.25">
      <c r="H309" t="s">
        <v>473</v>
      </c>
      <c r="I309" t="s">
        <v>215</v>
      </c>
    </row>
    <row r="310" spans="8:9" x14ac:dyDescent="0.25">
      <c r="H310" t="s">
        <v>474</v>
      </c>
      <c r="I310" t="s">
        <v>215</v>
      </c>
    </row>
    <row r="311" spans="8:9" x14ac:dyDescent="0.25">
      <c r="H311" t="s">
        <v>475</v>
      </c>
      <c r="I311" t="s">
        <v>215</v>
      </c>
    </row>
    <row r="312" spans="8:9" x14ac:dyDescent="0.25">
      <c r="H312" t="s">
        <v>476</v>
      </c>
      <c r="I312" t="s">
        <v>215</v>
      </c>
    </row>
    <row r="313" spans="8:9" x14ac:dyDescent="0.25">
      <c r="H313" t="s">
        <v>477</v>
      </c>
      <c r="I313" t="s">
        <v>215</v>
      </c>
    </row>
    <row r="314" spans="8:9" x14ac:dyDescent="0.25">
      <c r="H314" t="s">
        <v>478</v>
      </c>
      <c r="I314" t="s">
        <v>215</v>
      </c>
    </row>
    <row r="315" spans="8:9" x14ac:dyDescent="0.25">
      <c r="H315" t="s">
        <v>479</v>
      </c>
      <c r="I315" t="s">
        <v>215</v>
      </c>
    </row>
    <row r="316" spans="8:9" x14ac:dyDescent="0.25">
      <c r="H316" t="s">
        <v>480</v>
      </c>
      <c r="I316" t="s">
        <v>215</v>
      </c>
    </row>
    <row r="317" spans="8:9" x14ac:dyDescent="0.25">
      <c r="H317" t="s">
        <v>481</v>
      </c>
      <c r="I317" t="s">
        <v>215</v>
      </c>
    </row>
    <row r="318" spans="8:9" x14ac:dyDescent="0.25">
      <c r="H318" t="s">
        <v>482</v>
      </c>
      <c r="I318" t="s">
        <v>215</v>
      </c>
    </row>
    <row r="319" spans="8:9" x14ac:dyDescent="0.25">
      <c r="H319" t="s">
        <v>483</v>
      </c>
      <c r="I319" t="s">
        <v>215</v>
      </c>
    </row>
    <row r="320" spans="8:9" x14ac:dyDescent="0.25">
      <c r="H320" t="s">
        <v>484</v>
      </c>
      <c r="I320" t="s">
        <v>215</v>
      </c>
    </row>
    <row r="321" spans="8:9" x14ac:dyDescent="0.25">
      <c r="H321" t="s">
        <v>485</v>
      </c>
      <c r="I321" t="s">
        <v>215</v>
      </c>
    </row>
    <row r="322" spans="8:9" x14ac:dyDescent="0.25">
      <c r="H322" t="s">
        <v>486</v>
      </c>
      <c r="I322" t="s">
        <v>215</v>
      </c>
    </row>
    <row r="323" spans="8:9" x14ac:dyDescent="0.25">
      <c r="H323" t="s">
        <v>487</v>
      </c>
      <c r="I323" t="s">
        <v>215</v>
      </c>
    </row>
    <row r="324" spans="8:9" x14ac:dyDescent="0.25">
      <c r="H324" t="s">
        <v>488</v>
      </c>
      <c r="I324" t="s">
        <v>215</v>
      </c>
    </row>
    <row r="325" spans="8:9" x14ac:dyDescent="0.25">
      <c r="H325" t="s">
        <v>489</v>
      </c>
      <c r="I325" t="s">
        <v>215</v>
      </c>
    </row>
    <row r="326" spans="8:9" x14ac:dyDescent="0.25">
      <c r="H326" t="s">
        <v>490</v>
      </c>
      <c r="I326" t="s">
        <v>215</v>
      </c>
    </row>
    <row r="327" spans="8:9" x14ac:dyDescent="0.25">
      <c r="H327" t="s">
        <v>491</v>
      </c>
      <c r="I327" t="s">
        <v>215</v>
      </c>
    </row>
    <row r="328" spans="8:9" x14ac:dyDescent="0.25">
      <c r="H328" t="s">
        <v>170</v>
      </c>
      <c r="I328" t="s">
        <v>201</v>
      </c>
    </row>
    <row r="329" spans="8:9" x14ac:dyDescent="0.25">
      <c r="H329" t="s">
        <v>492</v>
      </c>
      <c r="I329" t="s">
        <v>196</v>
      </c>
    </row>
    <row r="330" spans="8:9" x14ac:dyDescent="0.25">
      <c r="H330" t="s">
        <v>493</v>
      </c>
      <c r="I330" t="s">
        <v>196</v>
      </c>
    </row>
    <row r="331" spans="8:9" x14ac:dyDescent="0.25">
      <c r="H331" t="s">
        <v>494</v>
      </c>
      <c r="I331" t="s">
        <v>215</v>
      </c>
    </row>
    <row r="332" spans="8:9" x14ac:dyDescent="0.25">
      <c r="H332" t="s">
        <v>495</v>
      </c>
      <c r="I332" t="s">
        <v>215</v>
      </c>
    </row>
    <row r="333" spans="8:9" x14ac:dyDescent="0.25">
      <c r="H333" t="s">
        <v>496</v>
      </c>
      <c r="I333" t="s">
        <v>215</v>
      </c>
    </row>
    <row r="334" spans="8:9" x14ac:dyDescent="0.25">
      <c r="H334" t="s">
        <v>497</v>
      </c>
      <c r="I334" t="s">
        <v>215</v>
      </c>
    </row>
    <row r="335" spans="8:9" x14ac:dyDescent="0.25">
      <c r="H335" t="s">
        <v>498</v>
      </c>
      <c r="I335" t="s">
        <v>215</v>
      </c>
    </row>
    <row r="336" spans="8:9" x14ac:dyDescent="0.25">
      <c r="H336" t="s">
        <v>499</v>
      </c>
      <c r="I336" t="s">
        <v>215</v>
      </c>
    </row>
    <row r="337" spans="8:9" x14ac:dyDescent="0.25">
      <c r="H337" t="s">
        <v>500</v>
      </c>
      <c r="I337" t="s">
        <v>215</v>
      </c>
    </row>
    <row r="338" spans="8:9" x14ac:dyDescent="0.25">
      <c r="H338" t="s">
        <v>501</v>
      </c>
      <c r="I338" t="s">
        <v>215</v>
      </c>
    </row>
    <row r="339" spans="8:9" x14ac:dyDescent="0.25">
      <c r="H339" t="s">
        <v>502</v>
      </c>
      <c r="I339" t="s">
        <v>215</v>
      </c>
    </row>
    <row r="340" spans="8:9" x14ac:dyDescent="0.25">
      <c r="H340" t="s">
        <v>503</v>
      </c>
      <c r="I340" t="s">
        <v>215</v>
      </c>
    </row>
    <row r="341" spans="8:9" x14ac:dyDescent="0.25">
      <c r="H341" t="s">
        <v>504</v>
      </c>
      <c r="I341" t="s">
        <v>215</v>
      </c>
    </row>
    <row r="342" spans="8:9" x14ac:dyDescent="0.25">
      <c r="H342" t="s">
        <v>505</v>
      </c>
      <c r="I342" t="s">
        <v>215</v>
      </c>
    </row>
    <row r="343" spans="8:9" x14ac:dyDescent="0.25">
      <c r="H343" t="s">
        <v>506</v>
      </c>
      <c r="I343" t="s">
        <v>215</v>
      </c>
    </row>
    <row r="344" spans="8:9" x14ac:dyDescent="0.25">
      <c r="H344" t="s">
        <v>507</v>
      </c>
      <c r="I344" t="s">
        <v>215</v>
      </c>
    </row>
    <row r="345" spans="8:9" x14ac:dyDescent="0.25">
      <c r="H345" t="s">
        <v>508</v>
      </c>
      <c r="I345" t="s">
        <v>215</v>
      </c>
    </row>
    <row r="346" spans="8:9" x14ac:dyDescent="0.25">
      <c r="H346" t="s">
        <v>509</v>
      </c>
      <c r="I346" t="s">
        <v>215</v>
      </c>
    </row>
    <row r="347" spans="8:9" x14ac:dyDescent="0.25">
      <c r="H347" t="s">
        <v>510</v>
      </c>
      <c r="I347" t="s">
        <v>215</v>
      </c>
    </row>
    <row r="348" spans="8:9" x14ac:dyDescent="0.25">
      <c r="H348" t="s">
        <v>511</v>
      </c>
      <c r="I348" t="s">
        <v>215</v>
      </c>
    </row>
    <row r="349" spans="8:9" x14ac:dyDescent="0.25">
      <c r="H349" t="s">
        <v>512</v>
      </c>
      <c r="I349" t="s">
        <v>215</v>
      </c>
    </row>
    <row r="350" spans="8:9" x14ac:dyDescent="0.25">
      <c r="H350" t="s">
        <v>513</v>
      </c>
      <c r="I350" t="s">
        <v>215</v>
      </c>
    </row>
    <row r="351" spans="8:9" x14ac:dyDescent="0.25">
      <c r="H351" t="s">
        <v>514</v>
      </c>
      <c r="I351" t="s">
        <v>215</v>
      </c>
    </row>
    <row r="352" spans="8:9" x14ac:dyDescent="0.25">
      <c r="H352" t="s">
        <v>515</v>
      </c>
      <c r="I352" t="s">
        <v>215</v>
      </c>
    </row>
    <row r="353" spans="8:9" x14ac:dyDescent="0.25">
      <c r="H353" t="s">
        <v>516</v>
      </c>
      <c r="I353" t="s">
        <v>215</v>
      </c>
    </row>
    <row r="354" spans="8:9" x14ac:dyDescent="0.25">
      <c r="H354" t="s">
        <v>517</v>
      </c>
      <c r="I354" t="s">
        <v>215</v>
      </c>
    </row>
    <row r="355" spans="8:9" x14ac:dyDescent="0.25">
      <c r="H355" t="s">
        <v>518</v>
      </c>
      <c r="I355" t="s">
        <v>215</v>
      </c>
    </row>
    <row r="356" spans="8:9" x14ac:dyDescent="0.25">
      <c r="H356" t="s">
        <v>519</v>
      </c>
      <c r="I356" t="s">
        <v>215</v>
      </c>
    </row>
    <row r="357" spans="8:9" x14ac:dyDescent="0.25">
      <c r="H357" t="s">
        <v>520</v>
      </c>
      <c r="I357" t="s">
        <v>215</v>
      </c>
    </row>
    <row r="358" spans="8:9" x14ac:dyDescent="0.25">
      <c r="H358" t="s">
        <v>521</v>
      </c>
      <c r="I358" t="s">
        <v>196</v>
      </c>
    </row>
    <row r="359" spans="8:9" x14ac:dyDescent="0.25">
      <c r="H359" t="s">
        <v>522</v>
      </c>
      <c r="I359" t="s">
        <v>215</v>
      </c>
    </row>
    <row r="360" spans="8:9" x14ac:dyDescent="0.25">
      <c r="H360" t="s">
        <v>175</v>
      </c>
      <c r="I360" t="s">
        <v>201</v>
      </c>
    </row>
    <row r="361" spans="8:9" x14ac:dyDescent="0.25">
      <c r="H361" t="s">
        <v>523</v>
      </c>
      <c r="I361" t="s">
        <v>215</v>
      </c>
    </row>
    <row r="362" spans="8:9" x14ac:dyDescent="0.25">
      <c r="H362" t="s">
        <v>524</v>
      </c>
      <c r="I362" t="s">
        <v>215</v>
      </c>
    </row>
    <row r="363" spans="8:9" x14ac:dyDescent="0.25">
      <c r="H363" t="s">
        <v>525</v>
      </c>
      <c r="I363" t="s">
        <v>215</v>
      </c>
    </row>
    <row r="364" spans="8:9" x14ac:dyDescent="0.25">
      <c r="H364" t="s">
        <v>526</v>
      </c>
      <c r="I364" t="s">
        <v>215</v>
      </c>
    </row>
    <row r="365" spans="8:9" x14ac:dyDescent="0.25">
      <c r="H365" t="s">
        <v>527</v>
      </c>
      <c r="I365" t="s">
        <v>215</v>
      </c>
    </row>
    <row r="366" spans="8:9" x14ac:dyDescent="0.25">
      <c r="H366" t="s">
        <v>528</v>
      </c>
      <c r="I366" t="s">
        <v>215</v>
      </c>
    </row>
    <row r="367" spans="8:9" x14ac:dyDescent="0.25">
      <c r="H367" t="s">
        <v>529</v>
      </c>
      <c r="I367" t="s">
        <v>196</v>
      </c>
    </row>
    <row r="368" spans="8:9" x14ac:dyDescent="0.25">
      <c r="H368" t="s">
        <v>530</v>
      </c>
      <c r="I368" t="s">
        <v>215</v>
      </c>
    </row>
    <row r="369" spans="8:9" x14ac:dyDescent="0.25">
      <c r="H369" t="s">
        <v>531</v>
      </c>
      <c r="I369" t="s">
        <v>215</v>
      </c>
    </row>
    <row r="370" spans="8:9" x14ac:dyDescent="0.25">
      <c r="H370" t="s">
        <v>532</v>
      </c>
      <c r="I370" t="s">
        <v>215</v>
      </c>
    </row>
    <row r="371" spans="8:9" x14ac:dyDescent="0.25">
      <c r="H371" t="s">
        <v>533</v>
      </c>
      <c r="I371" t="s">
        <v>215</v>
      </c>
    </row>
    <row r="372" spans="8:9" x14ac:dyDescent="0.25">
      <c r="H372" t="s">
        <v>534</v>
      </c>
      <c r="I372" t="s">
        <v>215</v>
      </c>
    </row>
    <row r="373" spans="8:9" x14ac:dyDescent="0.25">
      <c r="H373" t="s">
        <v>535</v>
      </c>
      <c r="I373" t="s">
        <v>215</v>
      </c>
    </row>
    <row r="374" spans="8:9" x14ac:dyDescent="0.25">
      <c r="H374" t="s">
        <v>536</v>
      </c>
      <c r="I374" t="s">
        <v>215</v>
      </c>
    </row>
    <row r="375" spans="8:9" x14ac:dyDescent="0.25">
      <c r="H375" t="s">
        <v>537</v>
      </c>
      <c r="I375" t="s">
        <v>215</v>
      </c>
    </row>
    <row r="376" spans="8:9" x14ac:dyDescent="0.25">
      <c r="H376" t="s">
        <v>538</v>
      </c>
      <c r="I376" t="s">
        <v>215</v>
      </c>
    </row>
    <row r="377" spans="8:9" x14ac:dyDescent="0.25">
      <c r="H377" t="s">
        <v>539</v>
      </c>
      <c r="I377" t="s">
        <v>215</v>
      </c>
    </row>
    <row r="378" spans="8:9" x14ac:dyDescent="0.25">
      <c r="H378" t="s">
        <v>540</v>
      </c>
      <c r="I378" t="s">
        <v>215</v>
      </c>
    </row>
    <row r="379" spans="8:9" x14ac:dyDescent="0.25">
      <c r="H379" t="s">
        <v>541</v>
      </c>
      <c r="I379" t="s">
        <v>215</v>
      </c>
    </row>
    <row r="380" spans="8:9" x14ac:dyDescent="0.25">
      <c r="H380" t="s">
        <v>542</v>
      </c>
      <c r="I380" t="s">
        <v>215</v>
      </c>
    </row>
    <row r="381" spans="8:9" x14ac:dyDescent="0.25">
      <c r="H381" t="s">
        <v>543</v>
      </c>
      <c r="I381" t="s">
        <v>215</v>
      </c>
    </row>
    <row r="382" spans="8:9" x14ac:dyDescent="0.25">
      <c r="H382" t="s">
        <v>544</v>
      </c>
      <c r="I382" t="s">
        <v>215</v>
      </c>
    </row>
    <row r="383" spans="8:9" x14ac:dyDescent="0.25">
      <c r="H383" t="s">
        <v>545</v>
      </c>
      <c r="I383" t="s">
        <v>215</v>
      </c>
    </row>
    <row r="384" spans="8:9" x14ac:dyDescent="0.25">
      <c r="H384" t="s">
        <v>546</v>
      </c>
      <c r="I384" t="s">
        <v>215</v>
      </c>
    </row>
    <row r="385" spans="8:9" x14ac:dyDescent="0.25">
      <c r="H385" t="s">
        <v>547</v>
      </c>
      <c r="I385" t="s">
        <v>215</v>
      </c>
    </row>
    <row r="386" spans="8:9" x14ac:dyDescent="0.25">
      <c r="H386" t="s">
        <v>548</v>
      </c>
      <c r="I386" t="s">
        <v>215</v>
      </c>
    </row>
    <row r="387" spans="8:9" x14ac:dyDescent="0.25">
      <c r="H387" t="s">
        <v>549</v>
      </c>
      <c r="I387" t="s">
        <v>215</v>
      </c>
    </row>
    <row r="388" spans="8:9" x14ac:dyDescent="0.25">
      <c r="H388" t="s">
        <v>550</v>
      </c>
      <c r="I388" t="s">
        <v>215</v>
      </c>
    </row>
    <row r="389" spans="8:9" x14ac:dyDescent="0.25">
      <c r="H389" t="s">
        <v>551</v>
      </c>
      <c r="I389" t="s">
        <v>215</v>
      </c>
    </row>
    <row r="390" spans="8:9" x14ac:dyDescent="0.25">
      <c r="H390" t="s">
        <v>552</v>
      </c>
      <c r="I390" t="s">
        <v>215</v>
      </c>
    </row>
    <row r="391" spans="8:9" x14ac:dyDescent="0.25">
      <c r="H391" t="s">
        <v>553</v>
      </c>
      <c r="I391" t="s">
        <v>215</v>
      </c>
    </row>
    <row r="392" spans="8:9" x14ac:dyDescent="0.25">
      <c r="H392" t="s">
        <v>554</v>
      </c>
      <c r="I392" t="s">
        <v>215</v>
      </c>
    </row>
    <row r="393" spans="8:9" x14ac:dyDescent="0.25">
      <c r="H393" t="s">
        <v>555</v>
      </c>
      <c r="I393" t="s">
        <v>215</v>
      </c>
    </row>
    <row r="394" spans="8:9" x14ac:dyDescent="0.25">
      <c r="H394" t="s">
        <v>556</v>
      </c>
      <c r="I394" t="s">
        <v>215</v>
      </c>
    </row>
    <row r="395" spans="8:9" x14ac:dyDescent="0.25">
      <c r="H395" t="s">
        <v>557</v>
      </c>
      <c r="I395" t="s">
        <v>215</v>
      </c>
    </row>
    <row r="396" spans="8:9" x14ac:dyDescent="0.25">
      <c r="H396" t="s">
        <v>558</v>
      </c>
      <c r="I396" t="s">
        <v>215</v>
      </c>
    </row>
    <row r="397" spans="8:9" x14ac:dyDescent="0.25">
      <c r="H397" t="s">
        <v>559</v>
      </c>
      <c r="I397" t="s">
        <v>215</v>
      </c>
    </row>
    <row r="398" spans="8:9" x14ac:dyDescent="0.25">
      <c r="H398" t="s">
        <v>560</v>
      </c>
      <c r="I398" t="s">
        <v>215</v>
      </c>
    </row>
    <row r="399" spans="8:9" x14ac:dyDescent="0.25">
      <c r="H399" t="s">
        <v>561</v>
      </c>
      <c r="I399" t="s">
        <v>215</v>
      </c>
    </row>
    <row r="400" spans="8:9" x14ac:dyDescent="0.25">
      <c r="H400" t="s">
        <v>562</v>
      </c>
      <c r="I400" t="s">
        <v>215</v>
      </c>
    </row>
    <row r="401" spans="8:9" x14ac:dyDescent="0.25">
      <c r="H401" t="s">
        <v>563</v>
      </c>
      <c r="I401" t="s">
        <v>215</v>
      </c>
    </row>
    <row r="402" spans="8:9" x14ac:dyDescent="0.25">
      <c r="H402" t="s">
        <v>564</v>
      </c>
      <c r="I402" t="s">
        <v>215</v>
      </c>
    </row>
    <row r="403" spans="8:9" x14ac:dyDescent="0.25">
      <c r="H403" t="s">
        <v>565</v>
      </c>
      <c r="I403" t="s">
        <v>215</v>
      </c>
    </row>
    <row r="404" spans="8:9" x14ac:dyDescent="0.25">
      <c r="H404" t="s">
        <v>566</v>
      </c>
      <c r="I404" t="s">
        <v>215</v>
      </c>
    </row>
    <row r="405" spans="8:9" x14ac:dyDescent="0.25">
      <c r="H405" t="s">
        <v>567</v>
      </c>
      <c r="I405" t="s">
        <v>215</v>
      </c>
    </row>
    <row r="406" spans="8:9" x14ac:dyDescent="0.25">
      <c r="H406" t="s">
        <v>568</v>
      </c>
      <c r="I406" t="s">
        <v>215</v>
      </c>
    </row>
    <row r="407" spans="8:9" x14ac:dyDescent="0.25">
      <c r="H407" t="s">
        <v>569</v>
      </c>
      <c r="I407" t="s">
        <v>215</v>
      </c>
    </row>
    <row r="408" spans="8:9" x14ac:dyDescent="0.25">
      <c r="H408" t="s">
        <v>570</v>
      </c>
      <c r="I408" t="s">
        <v>215</v>
      </c>
    </row>
    <row r="409" spans="8:9" x14ac:dyDescent="0.25">
      <c r="H409" t="s">
        <v>571</v>
      </c>
      <c r="I409" t="s">
        <v>215</v>
      </c>
    </row>
    <row r="410" spans="8:9" x14ac:dyDescent="0.25">
      <c r="H410" t="s">
        <v>572</v>
      </c>
      <c r="I410" t="s">
        <v>215</v>
      </c>
    </row>
    <row r="411" spans="8:9" x14ac:dyDescent="0.25">
      <c r="H411" t="s">
        <v>573</v>
      </c>
      <c r="I411" t="s">
        <v>215</v>
      </c>
    </row>
    <row r="412" spans="8:9" x14ac:dyDescent="0.25">
      <c r="H412" t="s">
        <v>574</v>
      </c>
      <c r="I412" t="s">
        <v>215</v>
      </c>
    </row>
    <row r="413" spans="8:9" x14ac:dyDescent="0.25">
      <c r="H413" t="s">
        <v>575</v>
      </c>
      <c r="I413" t="s">
        <v>215</v>
      </c>
    </row>
    <row r="414" spans="8:9" x14ac:dyDescent="0.25">
      <c r="H414" t="s">
        <v>576</v>
      </c>
      <c r="I414" t="s">
        <v>215</v>
      </c>
    </row>
    <row r="415" spans="8:9" x14ac:dyDescent="0.25">
      <c r="H415" t="s">
        <v>577</v>
      </c>
      <c r="I415" t="s">
        <v>215</v>
      </c>
    </row>
    <row r="416" spans="8:9" x14ac:dyDescent="0.25">
      <c r="H416" t="s">
        <v>578</v>
      </c>
      <c r="I416" t="s">
        <v>215</v>
      </c>
    </row>
    <row r="417" spans="8:9" x14ac:dyDescent="0.25">
      <c r="H417" t="s">
        <v>579</v>
      </c>
      <c r="I417" t="s">
        <v>215</v>
      </c>
    </row>
    <row r="418" spans="8:9" x14ac:dyDescent="0.25">
      <c r="H418" t="s">
        <v>580</v>
      </c>
      <c r="I418" t="s">
        <v>196</v>
      </c>
    </row>
    <row r="419" spans="8:9" x14ac:dyDescent="0.25">
      <c r="H419" t="s">
        <v>581</v>
      </c>
      <c r="I419" t="s">
        <v>215</v>
      </c>
    </row>
    <row r="420" spans="8:9" x14ac:dyDescent="0.25">
      <c r="H420" t="s">
        <v>582</v>
      </c>
      <c r="I420" t="s">
        <v>215</v>
      </c>
    </row>
    <row r="421" spans="8:9" x14ac:dyDescent="0.25">
      <c r="H421" t="s">
        <v>583</v>
      </c>
      <c r="I421" t="s">
        <v>215</v>
      </c>
    </row>
    <row r="422" spans="8:9" x14ac:dyDescent="0.25">
      <c r="H422" t="s">
        <v>584</v>
      </c>
      <c r="I422" t="s">
        <v>215</v>
      </c>
    </row>
    <row r="423" spans="8:9" x14ac:dyDescent="0.25">
      <c r="H423" t="s">
        <v>585</v>
      </c>
      <c r="I423" t="s">
        <v>215</v>
      </c>
    </row>
    <row r="424" spans="8:9" x14ac:dyDescent="0.25">
      <c r="H424" t="s">
        <v>586</v>
      </c>
      <c r="I424" t="s">
        <v>215</v>
      </c>
    </row>
    <row r="425" spans="8:9" x14ac:dyDescent="0.25">
      <c r="H425" t="s">
        <v>587</v>
      </c>
      <c r="I425" t="s">
        <v>215</v>
      </c>
    </row>
    <row r="426" spans="8:9" x14ac:dyDescent="0.25">
      <c r="H426" t="s">
        <v>588</v>
      </c>
      <c r="I426" t="s">
        <v>215</v>
      </c>
    </row>
    <row r="427" spans="8:9" x14ac:dyDescent="0.25">
      <c r="H427" t="s">
        <v>589</v>
      </c>
      <c r="I427" t="s">
        <v>215</v>
      </c>
    </row>
    <row r="428" spans="8:9" x14ac:dyDescent="0.25">
      <c r="H428" t="s">
        <v>590</v>
      </c>
      <c r="I428" t="s">
        <v>215</v>
      </c>
    </row>
    <row r="429" spans="8:9" x14ac:dyDescent="0.25">
      <c r="H429" t="s">
        <v>591</v>
      </c>
      <c r="I429" t="s">
        <v>215</v>
      </c>
    </row>
    <row r="430" spans="8:9" x14ac:dyDescent="0.25">
      <c r="H430" t="s">
        <v>592</v>
      </c>
      <c r="I430" t="s">
        <v>215</v>
      </c>
    </row>
    <row r="431" spans="8:9" x14ac:dyDescent="0.25">
      <c r="H431" t="s">
        <v>593</v>
      </c>
      <c r="I431" t="s">
        <v>215</v>
      </c>
    </row>
    <row r="432" spans="8:9" x14ac:dyDescent="0.25">
      <c r="H432" t="s">
        <v>594</v>
      </c>
      <c r="I432" t="s">
        <v>215</v>
      </c>
    </row>
    <row r="433" spans="8:9" x14ac:dyDescent="0.25">
      <c r="H433" t="s">
        <v>595</v>
      </c>
      <c r="I433" t="s">
        <v>215</v>
      </c>
    </row>
    <row r="434" spans="8:9" x14ac:dyDescent="0.25">
      <c r="H434" t="s">
        <v>596</v>
      </c>
      <c r="I434" t="s">
        <v>215</v>
      </c>
    </row>
    <row r="435" spans="8:9" x14ac:dyDescent="0.25">
      <c r="H435" t="s">
        <v>597</v>
      </c>
      <c r="I435" t="s">
        <v>215</v>
      </c>
    </row>
    <row r="436" spans="8:9" x14ac:dyDescent="0.25">
      <c r="H436" t="s">
        <v>598</v>
      </c>
      <c r="I436" t="s">
        <v>215</v>
      </c>
    </row>
    <row r="437" spans="8:9" x14ac:dyDescent="0.25">
      <c r="H437" t="s">
        <v>599</v>
      </c>
      <c r="I437" t="s">
        <v>215</v>
      </c>
    </row>
    <row r="438" spans="8:9" x14ac:dyDescent="0.25">
      <c r="H438" t="s">
        <v>600</v>
      </c>
      <c r="I438" t="s">
        <v>215</v>
      </c>
    </row>
    <row r="439" spans="8:9" x14ac:dyDescent="0.25">
      <c r="H439" t="s">
        <v>601</v>
      </c>
      <c r="I439" t="s">
        <v>215</v>
      </c>
    </row>
    <row r="440" spans="8:9" x14ac:dyDescent="0.25">
      <c r="H440" t="s">
        <v>602</v>
      </c>
      <c r="I440" t="s">
        <v>215</v>
      </c>
    </row>
    <row r="441" spans="8:9" x14ac:dyDescent="0.25">
      <c r="H441" t="s">
        <v>603</v>
      </c>
      <c r="I441" t="s">
        <v>215</v>
      </c>
    </row>
    <row r="442" spans="8:9" x14ac:dyDescent="0.25">
      <c r="H442" t="s">
        <v>604</v>
      </c>
      <c r="I442" t="s">
        <v>215</v>
      </c>
    </row>
    <row r="443" spans="8:9" x14ac:dyDescent="0.25">
      <c r="H443" t="s">
        <v>605</v>
      </c>
      <c r="I443" t="s">
        <v>215</v>
      </c>
    </row>
    <row r="444" spans="8:9" x14ac:dyDescent="0.25">
      <c r="H444" t="s">
        <v>606</v>
      </c>
      <c r="I444" t="s">
        <v>215</v>
      </c>
    </row>
    <row r="445" spans="8:9" x14ac:dyDescent="0.25">
      <c r="H445" t="s">
        <v>607</v>
      </c>
      <c r="I445" t="s">
        <v>215</v>
      </c>
    </row>
    <row r="446" spans="8:9" x14ac:dyDescent="0.25">
      <c r="H446" t="s">
        <v>608</v>
      </c>
      <c r="I446" t="s">
        <v>215</v>
      </c>
    </row>
    <row r="447" spans="8:9" x14ac:dyDescent="0.25">
      <c r="H447" t="s">
        <v>609</v>
      </c>
      <c r="I447" t="s">
        <v>215</v>
      </c>
    </row>
    <row r="448" spans="8:9" x14ac:dyDescent="0.25">
      <c r="H448" t="s">
        <v>610</v>
      </c>
      <c r="I448" t="s">
        <v>215</v>
      </c>
    </row>
    <row r="449" spans="8:9" x14ac:dyDescent="0.25">
      <c r="H449" t="s">
        <v>611</v>
      </c>
      <c r="I449" t="s">
        <v>215</v>
      </c>
    </row>
    <row r="450" spans="8:9" x14ac:dyDescent="0.25">
      <c r="H450" t="s">
        <v>612</v>
      </c>
      <c r="I450" t="s">
        <v>215</v>
      </c>
    </row>
    <row r="451" spans="8:9" x14ac:dyDescent="0.25">
      <c r="H451" t="s">
        <v>613</v>
      </c>
      <c r="I451" t="s">
        <v>215</v>
      </c>
    </row>
    <row r="452" spans="8:9" x14ac:dyDescent="0.25">
      <c r="H452" t="s">
        <v>614</v>
      </c>
      <c r="I452" t="s">
        <v>215</v>
      </c>
    </row>
    <row r="453" spans="8:9" x14ac:dyDescent="0.25">
      <c r="H453" t="s">
        <v>615</v>
      </c>
      <c r="I453" t="s">
        <v>215</v>
      </c>
    </row>
    <row r="454" spans="8:9" x14ac:dyDescent="0.25">
      <c r="H454" t="s">
        <v>616</v>
      </c>
      <c r="I454" t="s">
        <v>215</v>
      </c>
    </row>
    <row r="455" spans="8:9" x14ac:dyDescent="0.25">
      <c r="H455" t="s">
        <v>617</v>
      </c>
      <c r="I455" t="s">
        <v>215</v>
      </c>
    </row>
    <row r="456" spans="8:9" x14ac:dyDescent="0.25">
      <c r="H456" t="s">
        <v>618</v>
      </c>
      <c r="I456" t="s">
        <v>215</v>
      </c>
    </row>
    <row r="457" spans="8:9" x14ac:dyDescent="0.25">
      <c r="H457" t="s">
        <v>619</v>
      </c>
      <c r="I457" t="s">
        <v>215</v>
      </c>
    </row>
    <row r="458" spans="8:9" x14ac:dyDescent="0.25">
      <c r="H458" t="s">
        <v>620</v>
      </c>
      <c r="I458" t="s">
        <v>215</v>
      </c>
    </row>
    <row r="459" spans="8:9" x14ac:dyDescent="0.25">
      <c r="H459" t="s">
        <v>621</v>
      </c>
      <c r="I459" t="s">
        <v>215</v>
      </c>
    </row>
    <row r="460" spans="8:9" x14ac:dyDescent="0.25">
      <c r="H460" t="s">
        <v>622</v>
      </c>
      <c r="I460" t="s">
        <v>215</v>
      </c>
    </row>
    <row r="461" spans="8:9" x14ac:dyDescent="0.25">
      <c r="H461" t="s">
        <v>623</v>
      </c>
      <c r="I461" t="s">
        <v>215</v>
      </c>
    </row>
    <row r="462" spans="8:9" x14ac:dyDescent="0.25">
      <c r="H462" t="s">
        <v>624</v>
      </c>
      <c r="I462" t="s">
        <v>215</v>
      </c>
    </row>
    <row r="463" spans="8:9" x14ac:dyDescent="0.25">
      <c r="H463" t="s">
        <v>625</v>
      </c>
      <c r="I463" t="s">
        <v>215</v>
      </c>
    </row>
    <row r="464" spans="8:9" x14ac:dyDescent="0.25">
      <c r="H464" t="s">
        <v>626</v>
      </c>
      <c r="I464" t="s">
        <v>215</v>
      </c>
    </row>
    <row r="465" spans="8:9" x14ac:dyDescent="0.25">
      <c r="H465" t="s">
        <v>627</v>
      </c>
      <c r="I465" t="s">
        <v>215</v>
      </c>
    </row>
    <row r="466" spans="8:9" x14ac:dyDescent="0.25">
      <c r="H466" t="s">
        <v>628</v>
      </c>
      <c r="I466" t="s">
        <v>215</v>
      </c>
    </row>
    <row r="467" spans="8:9" x14ac:dyDescent="0.25">
      <c r="H467" t="s">
        <v>629</v>
      </c>
      <c r="I467" t="s">
        <v>215</v>
      </c>
    </row>
    <row r="468" spans="8:9" x14ac:dyDescent="0.25">
      <c r="H468" t="s">
        <v>630</v>
      </c>
      <c r="I468" t="s">
        <v>215</v>
      </c>
    </row>
    <row r="469" spans="8:9" x14ac:dyDescent="0.25">
      <c r="H469" t="s">
        <v>631</v>
      </c>
      <c r="I469" t="s">
        <v>215</v>
      </c>
    </row>
    <row r="470" spans="8:9" x14ac:dyDescent="0.25">
      <c r="H470" t="s">
        <v>632</v>
      </c>
      <c r="I470" t="s">
        <v>215</v>
      </c>
    </row>
    <row r="471" spans="8:9" x14ac:dyDescent="0.25">
      <c r="H471" t="s">
        <v>633</v>
      </c>
      <c r="I471" t="s">
        <v>215</v>
      </c>
    </row>
    <row r="472" spans="8:9" x14ac:dyDescent="0.25">
      <c r="H472" t="s">
        <v>634</v>
      </c>
      <c r="I472" t="s">
        <v>215</v>
      </c>
    </row>
    <row r="473" spans="8:9" x14ac:dyDescent="0.25">
      <c r="H473" t="s">
        <v>635</v>
      </c>
      <c r="I473" t="s">
        <v>215</v>
      </c>
    </row>
    <row r="474" spans="8:9" x14ac:dyDescent="0.25">
      <c r="H474" t="s">
        <v>636</v>
      </c>
      <c r="I474" t="s">
        <v>215</v>
      </c>
    </row>
    <row r="475" spans="8:9" x14ac:dyDescent="0.25">
      <c r="H475" t="s">
        <v>637</v>
      </c>
      <c r="I475" t="s">
        <v>215</v>
      </c>
    </row>
    <row r="476" spans="8:9" x14ac:dyDescent="0.25">
      <c r="H476" t="s">
        <v>638</v>
      </c>
      <c r="I476" t="s">
        <v>215</v>
      </c>
    </row>
    <row r="477" spans="8:9" x14ac:dyDescent="0.25">
      <c r="H477" t="s">
        <v>639</v>
      </c>
      <c r="I477" t="s">
        <v>215</v>
      </c>
    </row>
    <row r="478" spans="8:9" x14ac:dyDescent="0.25">
      <c r="H478" t="s">
        <v>640</v>
      </c>
      <c r="I478" t="s">
        <v>215</v>
      </c>
    </row>
    <row r="479" spans="8:9" x14ac:dyDescent="0.25">
      <c r="H479" t="s">
        <v>641</v>
      </c>
      <c r="I479" t="s">
        <v>215</v>
      </c>
    </row>
    <row r="480" spans="8:9" x14ac:dyDescent="0.25">
      <c r="H480" t="s">
        <v>642</v>
      </c>
      <c r="I480" t="s">
        <v>215</v>
      </c>
    </row>
    <row r="481" spans="8:9" x14ac:dyDescent="0.25">
      <c r="H481" t="s">
        <v>643</v>
      </c>
      <c r="I481" t="s">
        <v>215</v>
      </c>
    </row>
    <row r="482" spans="8:9" x14ac:dyDescent="0.25">
      <c r="H482" t="s">
        <v>644</v>
      </c>
      <c r="I482" t="s">
        <v>215</v>
      </c>
    </row>
    <row r="483" spans="8:9" x14ac:dyDescent="0.25">
      <c r="H483" t="s">
        <v>645</v>
      </c>
      <c r="I483" t="s">
        <v>215</v>
      </c>
    </row>
    <row r="484" spans="8:9" x14ac:dyDescent="0.25">
      <c r="H484" t="s">
        <v>646</v>
      </c>
      <c r="I484" t="s">
        <v>215</v>
      </c>
    </row>
    <row r="485" spans="8:9" x14ac:dyDescent="0.25">
      <c r="H485" t="s">
        <v>647</v>
      </c>
      <c r="I485" t="s">
        <v>215</v>
      </c>
    </row>
    <row r="486" spans="8:9" x14ac:dyDescent="0.25">
      <c r="H486" t="s">
        <v>648</v>
      </c>
      <c r="I486" t="s">
        <v>215</v>
      </c>
    </row>
    <row r="487" spans="8:9" x14ac:dyDescent="0.25">
      <c r="H487" t="s">
        <v>649</v>
      </c>
      <c r="I487" t="s">
        <v>215</v>
      </c>
    </row>
    <row r="488" spans="8:9" x14ac:dyDescent="0.25">
      <c r="H488" t="s">
        <v>650</v>
      </c>
      <c r="I488" t="s">
        <v>215</v>
      </c>
    </row>
    <row r="489" spans="8:9" x14ac:dyDescent="0.25">
      <c r="H489" t="s">
        <v>651</v>
      </c>
      <c r="I489" t="s">
        <v>215</v>
      </c>
    </row>
    <row r="490" spans="8:9" x14ac:dyDescent="0.25">
      <c r="H490" t="s">
        <v>652</v>
      </c>
      <c r="I490" t="s">
        <v>215</v>
      </c>
    </row>
    <row r="491" spans="8:9" x14ac:dyDescent="0.25">
      <c r="H491" t="s">
        <v>653</v>
      </c>
      <c r="I491" t="s">
        <v>215</v>
      </c>
    </row>
    <row r="492" spans="8:9" x14ac:dyDescent="0.25">
      <c r="H492" t="s">
        <v>654</v>
      </c>
      <c r="I492" t="s">
        <v>215</v>
      </c>
    </row>
    <row r="493" spans="8:9" x14ac:dyDescent="0.25">
      <c r="H493" t="s">
        <v>655</v>
      </c>
      <c r="I493" t="s">
        <v>215</v>
      </c>
    </row>
    <row r="494" spans="8:9" x14ac:dyDescent="0.25">
      <c r="H494" t="s">
        <v>656</v>
      </c>
      <c r="I494" t="s">
        <v>215</v>
      </c>
    </row>
    <row r="495" spans="8:9" x14ac:dyDescent="0.25">
      <c r="H495" t="s">
        <v>657</v>
      </c>
      <c r="I495" t="s">
        <v>215</v>
      </c>
    </row>
    <row r="496" spans="8:9" x14ac:dyDescent="0.25">
      <c r="H496" t="s">
        <v>658</v>
      </c>
      <c r="I496" t="s">
        <v>215</v>
      </c>
    </row>
    <row r="497" spans="8:9" x14ac:dyDescent="0.25">
      <c r="H497" t="s">
        <v>659</v>
      </c>
      <c r="I497" t="s">
        <v>215</v>
      </c>
    </row>
    <row r="498" spans="8:9" x14ac:dyDescent="0.25">
      <c r="H498" t="s">
        <v>660</v>
      </c>
      <c r="I498" t="s">
        <v>215</v>
      </c>
    </row>
    <row r="499" spans="8:9" x14ac:dyDescent="0.25">
      <c r="H499" t="s">
        <v>661</v>
      </c>
      <c r="I499" t="s">
        <v>215</v>
      </c>
    </row>
    <row r="500" spans="8:9" x14ac:dyDescent="0.25">
      <c r="H500" t="s">
        <v>662</v>
      </c>
      <c r="I500" t="s">
        <v>215</v>
      </c>
    </row>
    <row r="501" spans="8:9" x14ac:dyDescent="0.25">
      <c r="H501" t="s">
        <v>663</v>
      </c>
      <c r="I501" t="s">
        <v>215</v>
      </c>
    </row>
    <row r="502" spans="8:9" x14ac:dyDescent="0.25">
      <c r="H502" t="s">
        <v>664</v>
      </c>
      <c r="I502" t="s">
        <v>215</v>
      </c>
    </row>
    <row r="503" spans="8:9" x14ac:dyDescent="0.25">
      <c r="H503" t="s">
        <v>665</v>
      </c>
      <c r="I503" t="s">
        <v>215</v>
      </c>
    </row>
    <row r="504" spans="8:9" x14ac:dyDescent="0.25">
      <c r="H504" t="s">
        <v>666</v>
      </c>
      <c r="I504" t="s">
        <v>215</v>
      </c>
    </row>
    <row r="505" spans="8:9" x14ac:dyDescent="0.25">
      <c r="H505" t="s">
        <v>667</v>
      </c>
      <c r="I505" t="s">
        <v>215</v>
      </c>
    </row>
    <row r="506" spans="8:9" x14ac:dyDescent="0.25">
      <c r="H506" t="s">
        <v>668</v>
      </c>
      <c r="I506" t="s">
        <v>215</v>
      </c>
    </row>
    <row r="507" spans="8:9" x14ac:dyDescent="0.25">
      <c r="H507" t="s">
        <v>669</v>
      </c>
      <c r="I507" t="s">
        <v>215</v>
      </c>
    </row>
    <row r="508" spans="8:9" x14ac:dyDescent="0.25">
      <c r="H508" t="s">
        <v>670</v>
      </c>
      <c r="I508" t="s">
        <v>215</v>
      </c>
    </row>
    <row r="509" spans="8:9" x14ac:dyDescent="0.25">
      <c r="H509" t="s">
        <v>671</v>
      </c>
      <c r="I509" t="s">
        <v>215</v>
      </c>
    </row>
    <row r="510" spans="8:9" x14ac:dyDescent="0.25">
      <c r="H510" t="s">
        <v>672</v>
      </c>
      <c r="I510" t="s">
        <v>215</v>
      </c>
    </row>
    <row r="511" spans="8:9" x14ac:dyDescent="0.25">
      <c r="H511" t="s">
        <v>673</v>
      </c>
      <c r="I511" t="s">
        <v>215</v>
      </c>
    </row>
    <row r="512" spans="8:9" x14ac:dyDescent="0.25">
      <c r="H512" t="s">
        <v>674</v>
      </c>
      <c r="I512" t="s">
        <v>215</v>
      </c>
    </row>
    <row r="513" spans="8:9" x14ac:dyDescent="0.25">
      <c r="H513" t="s">
        <v>675</v>
      </c>
      <c r="I513" t="s">
        <v>215</v>
      </c>
    </row>
    <row r="514" spans="8:9" x14ac:dyDescent="0.25">
      <c r="H514" t="s">
        <v>676</v>
      </c>
      <c r="I514" t="s">
        <v>215</v>
      </c>
    </row>
    <row r="515" spans="8:9" x14ac:dyDescent="0.25">
      <c r="H515" t="s">
        <v>677</v>
      </c>
      <c r="I515" t="s">
        <v>215</v>
      </c>
    </row>
    <row r="516" spans="8:9" x14ac:dyDescent="0.25">
      <c r="H516" t="s">
        <v>678</v>
      </c>
      <c r="I516" t="s">
        <v>215</v>
      </c>
    </row>
    <row r="517" spans="8:9" x14ac:dyDescent="0.25">
      <c r="H517" t="s">
        <v>679</v>
      </c>
      <c r="I517" t="s">
        <v>215</v>
      </c>
    </row>
    <row r="518" spans="8:9" x14ac:dyDescent="0.25">
      <c r="H518" t="s">
        <v>680</v>
      </c>
      <c r="I518" t="s">
        <v>215</v>
      </c>
    </row>
    <row r="519" spans="8:9" x14ac:dyDescent="0.25">
      <c r="H519" t="s">
        <v>681</v>
      </c>
      <c r="I519" t="s">
        <v>215</v>
      </c>
    </row>
    <row r="520" spans="8:9" x14ac:dyDescent="0.25">
      <c r="H520" t="s">
        <v>682</v>
      </c>
      <c r="I520" t="s">
        <v>215</v>
      </c>
    </row>
    <row r="521" spans="8:9" x14ac:dyDescent="0.25">
      <c r="H521" t="s">
        <v>683</v>
      </c>
      <c r="I521" t="s">
        <v>215</v>
      </c>
    </row>
    <row r="522" spans="8:9" x14ac:dyDescent="0.25">
      <c r="H522" t="s">
        <v>684</v>
      </c>
      <c r="I522" t="s">
        <v>215</v>
      </c>
    </row>
    <row r="523" spans="8:9" x14ac:dyDescent="0.25">
      <c r="H523" t="s">
        <v>685</v>
      </c>
      <c r="I523" t="s">
        <v>215</v>
      </c>
    </row>
    <row r="524" spans="8:9" x14ac:dyDescent="0.25">
      <c r="H524" t="s">
        <v>686</v>
      </c>
      <c r="I524" t="s">
        <v>196</v>
      </c>
    </row>
    <row r="525" spans="8:9" x14ac:dyDescent="0.25">
      <c r="H525" t="s">
        <v>687</v>
      </c>
      <c r="I525" t="s">
        <v>215</v>
      </c>
    </row>
    <row r="526" spans="8:9" x14ac:dyDescent="0.25">
      <c r="H526" t="s">
        <v>688</v>
      </c>
      <c r="I526" t="s">
        <v>215</v>
      </c>
    </row>
    <row r="527" spans="8:9" x14ac:dyDescent="0.25">
      <c r="H527" t="s">
        <v>689</v>
      </c>
      <c r="I527" t="s">
        <v>215</v>
      </c>
    </row>
    <row r="528" spans="8:9" x14ac:dyDescent="0.25">
      <c r="H528" t="s">
        <v>690</v>
      </c>
      <c r="I528" t="s">
        <v>215</v>
      </c>
    </row>
    <row r="529" spans="8:9" x14ac:dyDescent="0.25">
      <c r="H529" t="s">
        <v>691</v>
      </c>
      <c r="I529" t="s">
        <v>215</v>
      </c>
    </row>
    <row r="530" spans="8:9" x14ac:dyDescent="0.25">
      <c r="H530" t="s">
        <v>692</v>
      </c>
      <c r="I530" t="s">
        <v>215</v>
      </c>
    </row>
    <row r="531" spans="8:9" x14ac:dyDescent="0.25">
      <c r="H531" t="s">
        <v>693</v>
      </c>
      <c r="I531" t="s">
        <v>215</v>
      </c>
    </row>
    <row r="532" spans="8:9" x14ac:dyDescent="0.25">
      <c r="H532" t="s">
        <v>694</v>
      </c>
      <c r="I532" t="s">
        <v>215</v>
      </c>
    </row>
    <row r="533" spans="8:9" x14ac:dyDescent="0.25">
      <c r="H533" t="s">
        <v>695</v>
      </c>
      <c r="I533" t="s">
        <v>215</v>
      </c>
    </row>
    <row r="534" spans="8:9" x14ac:dyDescent="0.25">
      <c r="H534" t="s">
        <v>696</v>
      </c>
      <c r="I534" t="s">
        <v>215</v>
      </c>
    </row>
    <row r="535" spans="8:9" x14ac:dyDescent="0.25">
      <c r="H535" t="s">
        <v>697</v>
      </c>
      <c r="I535" t="s">
        <v>215</v>
      </c>
    </row>
    <row r="536" spans="8:9" x14ac:dyDescent="0.25">
      <c r="H536" t="s">
        <v>698</v>
      </c>
      <c r="I536" t="s">
        <v>215</v>
      </c>
    </row>
    <row r="537" spans="8:9" x14ac:dyDescent="0.25">
      <c r="H537" t="s">
        <v>699</v>
      </c>
      <c r="I537" t="s">
        <v>215</v>
      </c>
    </row>
    <row r="538" spans="8:9" x14ac:dyDescent="0.25">
      <c r="H538" t="s">
        <v>700</v>
      </c>
      <c r="I538" t="s">
        <v>215</v>
      </c>
    </row>
    <row r="539" spans="8:9" x14ac:dyDescent="0.25">
      <c r="H539" t="s">
        <v>701</v>
      </c>
      <c r="I539" t="s">
        <v>215</v>
      </c>
    </row>
    <row r="540" spans="8:9" x14ac:dyDescent="0.25">
      <c r="H540" t="s">
        <v>702</v>
      </c>
      <c r="I540" t="s">
        <v>215</v>
      </c>
    </row>
    <row r="541" spans="8:9" x14ac:dyDescent="0.25">
      <c r="H541" t="s">
        <v>703</v>
      </c>
      <c r="I541" t="s">
        <v>215</v>
      </c>
    </row>
    <row r="542" spans="8:9" x14ac:dyDescent="0.25">
      <c r="H542" t="s">
        <v>704</v>
      </c>
      <c r="I542" t="s">
        <v>215</v>
      </c>
    </row>
    <row r="543" spans="8:9" x14ac:dyDescent="0.25">
      <c r="H543" t="s">
        <v>705</v>
      </c>
      <c r="I543" t="s">
        <v>215</v>
      </c>
    </row>
    <row r="544" spans="8:9" x14ac:dyDescent="0.25">
      <c r="H544" t="s">
        <v>706</v>
      </c>
      <c r="I544" t="s">
        <v>215</v>
      </c>
    </row>
    <row r="545" spans="8:9" x14ac:dyDescent="0.25">
      <c r="H545" t="s">
        <v>707</v>
      </c>
      <c r="I545" t="s">
        <v>215</v>
      </c>
    </row>
    <row r="546" spans="8:9" x14ac:dyDescent="0.25">
      <c r="H546" t="s">
        <v>708</v>
      </c>
      <c r="I546" t="s">
        <v>215</v>
      </c>
    </row>
    <row r="547" spans="8:9" x14ac:dyDescent="0.25">
      <c r="H547" t="s">
        <v>709</v>
      </c>
      <c r="I547" t="s">
        <v>215</v>
      </c>
    </row>
    <row r="548" spans="8:9" x14ac:dyDescent="0.25">
      <c r="H548" t="s">
        <v>710</v>
      </c>
      <c r="I548" t="s">
        <v>215</v>
      </c>
    </row>
    <row r="549" spans="8:9" x14ac:dyDescent="0.25">
      <c r="H549" t="s">
        <v>711</v>
      </c>
      <c r="I549" t="s">
        <v>215</v>
      </c>
    </row>
    <row r="550" spans="8:9" x14ac:dyDescent="0.25">
      <c r="H550" t="s">
        <v>712</v>
      </c>
      <c r="I550" t="s">
        <v>215</v>
      </c>
    </row>
    <row r="551" spans="8:9" x14ac:dyDescent="0.25">
      <c r="H551" t="s">
        <v>713</v>
      </c>
      <c r="I551" t="s">
        <v>215</v>
      </c>
    </row>
    <row r="552" spans="8:9" x14ac:dyDescent="0.25">
      <c r="H552" t="s">
        <v>714</v>
      </c>
      <c r="I552" t="s">
        <v>215</v>
      </c>
    </row>
    <row r="553" spans="8:9" x14ac:dyDescent="0.25">
      <c r="H553" t="s">
        <v>715</v>
      </c>
      <c r="I553" t="s">
        <v>215</v>
      </c>
    </row>
    <row r="554" spans="8:9" x14ac:dyDescent="0.25">
      <c r="H554" t="s">
        <v>716</v>
      </c>
      <c r="I554" t="s">
        <v>215</v>
      </c>
    </row>
    <row r="555" spans="8:9" x14ac:dyDescent="0.25">
      <c r="H555" t="s">
        <v>717</v>
      </c>
      <c r="I555" t="s">
        <v>215</v>
      </c>
    </row>
    <row r="556" spans="8:9" x14ac:dyDescent="0.25">
      <c r="H556" t="s">
        <v>718</v>
      </c>
      <c r="I556" t="s">
        <v>215</v>
      </c>
    </row>
    <row r="557" spans="8:9" x14ac:dyDescent="0.25">
      <c r="H557" t="s">
        <v>719</v>
      </c>
      <c r="I557" t="s">
        <v>215</v>
      </c>
    </row>
    <row r="558" spans="8:9" x14ac:dyDescent="0.25">
      <c r="H558" t="s">
        <v>720</v>
      </c>
      <c r="I558" t="s">
        <v>215</v>
      </c>
    </row>
    <row r="559" spans="8:9" x14ac:dyDescent="0.25">
      <c r="H559" t="s">
        <v>721</v>
      </c>
      <c r="I559" t="s">
        <v>215</v>
      </c>
    </row>
    <row r="560" spans="8:9" x14ac:dyDescent="0.25">
      <c r="H560" t="s">
        <v>722</v>
      </c>
      <c r="I560" t="s">
        <v>215</v>
      </c>
    </row>
    <row r="561" spans="8:9" x14ac:dyDescent="0.25">
      <c r="H561" t="s">
        <v>723</v>
      </c>
      <c r="I561" t="s">
        <v>215</v>
      </c>
    </row>
    <row r="562" spans="8:9" x14ac:dyDescent="0.25">
      <c r="H562" t="s">
        <v>724</v>
      </c>
      <c r="I562" t="s">
        <v>215</v>
      </c>
    </row>
    <row r="563" spans="8:9" x14ac:dyDescent="0.25">
      <c r="H563" t="s">
        <v>725</v>
      </c>
      <c r="I563" t="s">
        <v>215</v>
      </c>
    </row>
    <row r="564" spans="8:9" x14ac:dyDescent="0.25">
      <c r="H564" t="s">
        <v>726</v>
      </c>
      <c r="I564" t="s">
        <v>215</v>
      </c>
    </row>
    <row r="565" spans="8:9" x14ac:dyDescent="0.25">
      <c r="H565" t="s">
        <v>727</v>
      </c>
      <c r="I565" t="s">
        <v>215</v>
      </c>
    </row>
    <row r="566" spans="8:9" x14ac:dyDescent="0.25">
      <c r="H566" t="s">
        <v>728</v>
      </c>
      <c r="I566" t="s">
        <v>215</v>
      </c>
    </row>
    <row r="567" spans="8:9" x14ac:dyDescent="0.25">
      <c r="H567" t="s">
        <v>729</v>
      </c>
      <c r="I567" t="s">
        <v>215</v>
      </c>
    </row>
    <row r="568" spans="8:9" x14ac:dyDescent="0.25">
      <c r="H568" t="s">
        <v>730</v>
      </c>
      <c r="I568" t="s">
        <v>215</v>
      </c>
    </row>
    <row r="569" spans="8:9" x14ac:dyDescent="0.25">
      <c r="H569" t="s">
        <v>731</v>
      </c>
      <c r="I569" t="s">
        <v>215</v>
      </c>
    </row>
    <row r="570" spans="8:9" x14ac:dyDescent="0.25">
      <c r="H570" t="s">
        <v>732</v>
      </c>
      <c r="I570" t="s">
        <v>215</v>
      </c>
    </row>
    <row r="571" spans="8:9" x14ac:dyDescent="0.25">
      <c r="H571" t="s">
        <v>733</v>
      </c>
      <c r="I571" t="s">
        <v>215</v>
      </c>
    </row>
    <row r="572" spans="8:9" x14ac:dyDescent="0.25">
      <c r="H572" t="s">
        <v>734</v>
      </c>
      <c r="I572" t="s">
        <v>215</v>
      </c>
    </row>
    <row r="573" spans="8:9" x14ac:dyDescent="0.25">
      <c r="H573" t="s">
        <v>735</v>
      </c>
      <c r="I573" t="s">
        <v>215</v>
      </c>
    </row>
    <row r="574" spans="8:9" x14ac:dyDescent="0.25">
      <c r="H574" t="s">
        <v>736</v>
      </c>
      <c r="I574" t="s">
        <v>215</v>
      </c>
    </row>
    <row r="575" spans="8:9" x14ac:dyDescent="0.25">
      <c r="H575" t="s">
        <v>737</v>
      </c>
      <c r="I575" t="s">
        <v>215</v>
      </c>
    </row>
    <row r="576" spans="8:9" x14ac:dyDescent="0.25">
      <c r="H576" t="s">
        <v>738</v>
      </c>
      <c r="I576" t="s">
        <v>215</v>
      </c>
    </row>
    <row r="577" spans="8:9" x14ac:dyDescent="0.25">
      <c r="H577" t="s">
        <v>739</v>
      </c>
      <c r="I577" t="s">
        <v>215</v>
      </c>
    </row>
    <row r="578" spans="8:9" x14ac:dyDescent="0.25">
      <c r="H578" t="s">
        <v>740</v>
      </c>
      <c r="I578" t="s">
        <v>215</v>
      </c>
    </row>
    <row r="579" spans="8:9" x14ac:dyDescent="0.25">
      <c r="H579" t="s">
        <v>741</v>
      </c>
      <c r="I579" t="s">
        <v>215</v>
      </c>
    </row>
    <row r="580" spans="8:9" x14ac:dyDescent="0.25">
      <c r="H580" t="s">
        <v>742</v>
      </c>
      <c r="I580" t="s">
        <v>215</v>
      </c>
    </row>
    <row r="581" spans="8:9" x14ac:dyDescent="0.25">
      <c r="H581" t="s">
        <v>743</v>
      </c>
      <c r="I581" t="s">
        <v>215</v>
      </c>
    </row>
    <row r="582" spans="8:9" x14ac:dyDescent="0.25">
      <c r="H582" t="s">
        <v>744</v>
      </c>
      <c r="I582" t="s">
        <v>215</v>
      </c>
    </row>
    <row r="583" spans="8:9" x14ac:dyDescent="0.25">
      <c r="H583" t="s">
        <v>745</v>
      </c>
      <c r="I583" t="s">
        <v>215</v>
      </c>
    </row>
    <row r="584" spans="8:9" x14ac:dyDescent="0.25">
      <c r="H584" t="s">
        <v>746</v>
      </c>
      <c r="I584" t="s">
        <v>215</v>
      </c>
    </row>
    <row r="585" spans="8:9" x14ac:dyDescent="0.25">
      <c r="H585" t="s">
        <v>747</v>
      </c>
      <c r="I585" t="s">
        <v>215</v>
      </c>
    </row>
    <row r="586" spans="8:9" x14ac:dyDescent="0.25">
      <c r="H586" t="s">
        <v>748</v>
      </c>
      <c r="I586" t="s">
        <v>215</v>
      </c>
    </row>
    <row r="587" spans="8:9" x14ac:dyDescent="0.25">
      <c r="H587" t="s">
        <v>749</v>
      </c>
      <c r="I587" t="s">
        <v>215</v>
      </c>
    </row>
    <row r="588" spans="8:9" x14ac:dyDescent="0.25">
      <c r="H588" t="s">
        <v>750</v>
      </c>
      <c r="I588" t="s">
        <v>215</v>
      </c>
    </row>
    <row r="589" spans="8:9" x14ac:dyDescent="0.25">
      <c r="H589" t="s">
        <v>751</v>
      </c>
      <c r="I589" t="s">
        <v>215</v>
      </c>
    </row>
    <row r="590" spans="8:9" x14ac:dyDescent="0.25">
      <c r="H590" t="s">
        <v>752</v>
      </c>
      <c r="I590" t="s">
        <v>215</v>
      </c>
    </row>
    <row r="591" spans="8:9" x14ac:dyDescent="0.25">
      <c r="H591" t="s">
        <v>753</v>
      </c>
      <c r="I591" t="s">
        <v>215</v>
      </c>
    </row>
    <row r="592" spans="8:9" x14ac:dyDescent="0.25">
      <c r="H592" t="s">
        <v>754</v>
      </c>
      <c r="I592" t="s">
        <v>215</v>
      </c>
    </row>
    <row r="593" spans="8:9" x14ac:dyDescent="0.25">
      <c r="H593" t="s">
        <v>755</v>
      </c>
      <c r="I593" t="s">
        <v>215</v>
      </c>
    </row>
    <row r="594" spans="8:9" x14ac:dyDescent="0.25">
      <c r="H594" t="s">
        <v>756</v>
      </c>
      <c r="I594" t="s">
        <v>215</v>
      </c>
    </row>
    <row r="595" spans="8:9" x14ac:dyDescent="0.25">
      <c r="H595" t="s">
        <v>757</v>
      </c>
      <c r="I595" t="s">
        <v>215</v>
      </c>
    </row>
    <row r="596" spans="8:9" x14ac:dyDescent="0.25">
      <c r="H596" t="s">
        <v>758</v>
      </c>
      <c r="I596" t="s">
        <v>215</v>
      </c>
    </row>
    <row r="597" spans="8:9" x14ac:dyDescent="0.25">
      <c r="H597" t="s">
        <v>759</v>
      </c>
      <c r="I597" t="s">
        <v>215</v>
      </c>
    </row>
    <row r="598" spans="8:9" x14ac:dyDescent="0.25">
      <c r="H598" t="s">
        <v>760</v>
      </c>
      <c r="I598" t="s">
        <v>215</v>
      </c>
    </row>
    <row r="599" spans="8:9" x14ac:dyDescent="0.25">
      <c r="H599" t="s">
        <v>761</v>
      </c>
      <c r="I599" t="s">
        <v>215</v>
      </c>
    </row>
    <row r="600" spans="8:9" x14ac:dyDescent="0.25">
      <c r="H600" t="s">
        <v>762</v>
      </c>
      <c r="I600" t="s">
        <v>215</v>
      </c>
    </row>
    <row r="601" spans="8:9" x14ac:dyDescent="0.25">
      <c r="H601" t="s">
        <v>763</v>
      </c>
      <c r="I601" t="s">
        <v>215</v>
      </c>
    </row>
    <row r="602" spans="8:9" x14ac:dyDescent="0.25">
      <c r="H602" t="s">
        <v>764</v>
      </c>
      <c r="I602" t="s">
        <v>215</v>
      </c>
    </row>
    <row r="603" spans="8:9" x14ac:dyDescent="0.25">
      <c r="H603" t="s">
        <v>765</v>
      </c>
      <c r="I603" t="s">
        <v>215</v>
      </c>
    </row>
    <row r="604" spans="8:9" x14ac:dyDescent="0.25">
      <c r="H604" t="s">
        <v>766</v>
      </c>
      <c r="I604" t="s">
        <v>215</v>
      </c>
    </row>
    <row r="605" spans="8:9" x14ac:dyDescent="0.25">
      <c r="H605" t="s">
        <v>767</v>
      </c>
      <c r="I605" t="s">
        <v>215</v>
      </c>
    </row>
    <row r="606" spans="8:9" x14ac:dyDescent="0.25">
      <c r="H606" t="s">
        <v>768</v>
      </c>
      <c r="I606" t="s">
        <v>215</v>
      </c>
    </row>
    <row r="607" spans="8:9" x14ac:dyDescent="0.25">
      <c r="H607" t="s">
        <v>769</v>
      </c>
      <c r="I607" t="s">
        <v>215</v>
      </c>
    </row>
    <row r="608" spans="8:9" x14ac:dyDescent="0.25">
      <c r="H608" t="s">
        <v>770</v>
      </c>
      <c r="I608" t="s">
        <v>215</v>
      </c>
    </row>
    <row r="609" spans="8:9" x14ac:dyDescent="0.25">
      <c r="H609" t="s">
        <v>771</v>
      </c>
      <c r="I609" t="s">
        <v>215</v>
      </c>
    </row>
    <row r="610" spans="8:9" x14ac:dyDescent="0.25">
      <c r="H610" t="s">
        <v>772</v>
      </c>
      <c r="I610" t="s">
        <v>215</v>
      </c>
    </row>
    <row r="611" spans="8:9" x14ac:dyDescent="0.25">
      <c r="H611" t="s">
        <v>773</v>
      </c>
      <c r="I611" t="s">
        <v>215</v>
      </c>
    </row>
    <row r="612" spans="8:9" x14ac:dyDescent="0.25">
      <c r="H612" t="s">
        <v>774</v>
      </c>
      <c r="I612" t="s">
        <v>215</v>
      </c>
    </row>
    <row r="613" spans="8:9" x14ac:dyDescent="0.25">
      <c r="H613" t="s">
        <v>775</v>
      </c>
      <c r="I613" t="s">
        <v>215</v>
      </c>
    </row>
    <row r="614" spans="8:9" x14ac:dyDescent="0.25">
      <c r="H614" t="s">
        <v>776</v>
      </c>
      <c r="I614" t="s">
        <v>215</v>
      </c>
    </row>
    <row r="615" spans="8:9" x14ac:dyDescent="0.25">
      <c r="H615" t="s">
        <v>777</v>
      </c>
      <c r="I615" t="s">
        <v>215</v>
      </c>
    </row>
    <row r="616" spans="8:9" x14ac:dyDescent="0.25">
      <c r="H616" t="s">
        <v>778</v>
      </c>
      <c r="I616" t="s">
        <v>215</v>
      </c>
    </row>
    <row r="617" spans="8:9" x14ac:dyDescent="0.25">
      <c r="H617" t="s">
        <v>779</v>
      </c>
      <c r="I617" t="s">
        <v>215</v>
      </c>
    </row>
    <row r="618" spans="8:9" x14ac:dyDescent="0.25">
      <c r="H618" t="s">
        <v>780</v>
      </c>
      <c r="I618" t="s">
        <v>215</v>
      </c>
    </row>
    <row r="619" spans="8:9" x14ac:dyDescent="0.25">
      <c r="H619" t="s">
        <v>781</v>
      </c>
      <c r="I619" t="s">
        <v>215</v>
      </c>
    </row>
    <row r="620" spans="8:9" x14ac:dyDescent="0.25">
      <c r="H620" t="s">
        <v>782</v>
      </c>
      <c r="I620" t="s">
        <v>215</v>
      </c>
    </row>
    <row r="621" spans="8:9" x14ac:dyDescent="0.25">
      <c r="H621" t="s">
        <v>783</v>
      </c>
      <c r="I621" t="s">
        <v>215</v>
      </c>
    </row>
    <row r="622" spans="8:9" x14ac:dyDescent="0.25">
      <c r="H622" t="s">
        <v>784</v>
      </c>
      <c r="I622" t="s">
        <v>215</v>
      </c>
    </row>
    <row r="623" spans="8:9" x14ac:dyDescent="0.25">
      <c r="H623" t="s">
        <v>785</v>
      </c>
      <c r="I623" t="s">
        <v>215</v>
      </c>
    </row>
    <row r="624" spans="8:9" x14ac:dyDescent="0.25">
      <c r="H624" t="s">
        <v>786</v>
      </c>
      <c r="I624" t="s">
        <v>215</v>
      </c>
    </row>
    <row r="625" spans="8:9" x14ac:dyDescent="0.25">
      <c r="H625" t="s">
        <v>787</v>
      </c>
      <c r="I625" t="s">
        <v>215</v>
      </c>
    </row>
    <row r="626" spans="8:9" x14ac:dyDescent="0.25">
      <c r="H626" t="s">
        <v>788</v>
      </c>
      <c r="I626" t="s">
        <v>215</v>
      </c>
    </row>
    <row r="627" spans="8:9" x14ac:dyDescent="0.25">
      <c r="H627" t="s">
        <v>789</v>
      </c>
      <c r="I627" t="s">
        <v>215</v>
      </c>
    </row>
    <row r="628" spans="8:9" x14ac:dyDescent="0.25">
      <c r="H628" t="s">
        <v>790</v>
      </c>
      <c r="I628" t="s">
        <v>215</v>
      </c>
    </row>
    <row r="629" spans="8:9" x14ac:dyDescent="0.25">
      <c r="H629" t="s">
        <v>791</v>
      </c>
      <c r="I629" t="s">
        <v>215</v>
      </c>
    </row>
    <row r="630" spans="8:9" x14ac:dyDescent="0.25">
      <c r="H630" t="s">
        <v>792</v>
      </c>
      <c r="I630" t="s">
        <v>215</v>
      </c>
    </row>
    <row r="631" spans="8:9" x14ac:dyDescent="0.25">
      <c r="H631" t="s">
        <v>793</v>
      </c>
      <c r="I631" t="s">
        <v>215</v>
      </c>
    </row>
    <row r="632" spans="8:9" x14ac:dyDescent="0.25">
      <c r="H632" t="s">
        <v>794</v>
      </c>
      <c r="I632" t="s">
        <v>215</v>
      </c>
    </row>
    <row r="633" spans="8:9" x14ac:dyDescent="0.25">
      <c r="H633" t="s">
        <v>795</v>
      </c>
      <c r="I633" t="s">
        <v>215</v>
      </c>
    </row>
    <row r="634" spans="8:9" x14ac:dyDescent="0.25">
      <c r="H634" t="s">
        <v>796</v>
      </c>
      <c r="I634" t="s">
        <v>215</v>
      </c>
    </row>
    <row r="635" spans="8:9" x14ac:dyDescent="0.25">
      <c r="H635" t="s">
        <v>797</v>
      </c>
      <c r="I635" t="s">
        <v>215</v>
      </c>
    </row>
    <row r="636" spans="8:9" x14ac:dyDescent="0.25">
      <c r="H636" t="s">
        <v>798</v>
      </c>
      <c r="I636" t="s">
        <v>215</v>
      </c>
    </row>
    <row r="637" spans="8:9" x14ac:dyDescent="0.25">
      <c r="H637" t="s">
        <v>799</v>
      </c>
      <c r="I637" t="s">
        <v>215</v>
      </c>
    </row>
    <row r="638" spans="8:9" x14ac:dyDescent="0.25">
      <c r="H638" t="s">
        <v>800</v>
      </c>
      <c r="I638" t="s">
        <v>215</v>
      </c>
    </row>
    <row r="639" spans="8:9" x14ac:dyDescent="0.25">
      <c r="H639" t="s">
        <v>801</v>
      </c>
      <c r="I639" t="s">
        <v>215</v>
      </c>
    </row>
    <row r="640" spans="8:9" x14ac:dyDescent="0.25">
      <c r="H640" t="s">
        <v>802</v>
      </c>
      <c r="I640" t="s">
        <v>215</v>
      </c>
    </row>
    <row r="641" spans="8:9" x14ac:dyDescent="0.25">
      <c r="H641" t="s">
        <v>803</v>
      </c>
      <c r="I641" t="s">
        <v>215</v>
      </c>
    </row>
    <row r="642" spans="8:9" x14ac:dyDescent="0.25">
      <c r="H642" t="s">
        <v>804</v>
      </c>
      <c r="I642" t="s">
        <v>215</v>
      </c>
    </row>
    <row r="643" spans="8:9" x14ac:dyDescent="0.25">
      <c r="H643" t="s">
        <v>805</v>
      </c>
      <c r="I643" t="s">
        <v>215</v>
      </c>
    </row>
    <row r="644" spans="8:9" x14ac:dyDescent="0.25">
      <c r="H644" t="s">
        <v>806</v>
      </c>
      <c r="I644" t="s">
        <v>215</v>
      </c>
    </row>
    <row r="645" spans="8:9" x14ac:dyDescent="0.25">
      <c r="H645" t="s">
        <v>807</v>
      </c>
      <c r="I645" t="s">
        <v>215</v>
      </c>
    </row>
    <row r="646" spans="8:9" x14ac:dyDescent="0.25">
      <c r="H646" t="s">
        <v>808</v>
      </c>
      <c r="I646" t="s">
        <v>215</v>
      </c>
    </row>
    <row r="647" spans="8:9" x14ac:dyDescent="0.25">
      <c r="H647" t="s">
        <v>809</v>
      </c>
      <c r="I647" t="s">
        <v>215</v>
      </c>
    </row>
    <row r="648" spans="8:9" x14ac:dyDescent="0.25">
      <c r="H648" t="s">
        <v>810</v>
      </c>
      <c r="I648" t="s">
        <v>215</v>
      </c>
    </row>
    <row r="649" spans="8:9" x14ac:dyDescent="0.25">
      <c r="H649" t="s">
        <v>811</v>
      </c>
      <c r="I649" t="s">
        <v>215</v>
      </c>
    </row>
    <row r="650" spans="8:9" x14ac:dyDescent="0.25">
      <c r="H650" t="s">
        <v>812</v>
      </c>
      <c r="I650" t="s">
        <v>215</v>
      </c>
    </row>
    <row r="651" spans="8:9" x14ac:dyDescent="0.25">
      <c r="H651" t="s">
        <v>813</v>
      </c>
      <c r="I651" t="s">
        <v>215</v>
      </c>
    </row>
    <row r="652" spans="8:9" x14ac:dyDescent="0.25">
      <c r="H652" t="s">
        <v>814</v>
      </c>
      <c r="I652" t="s">
        <v>215</v>
      </c>
    </row>
    <row r="653" spans="8:9" x14ac:dyDescent="0.25">
      <c r="H653" t="s">
        <v>180</v>
      </c>
      <c r="I653" t="s">
        <v>196</v>
      </c>
    </row>
    <row r="654" spans="8:9" x14ac:dyDescent="0.25">
      <c r="H654" t="s">
        <v>815</v>
      </c>
      <c r="I654" t="s">
        <v>215</v>
      </c>
    </row>
    <row r="655" spans="8:9" x14ac:dyDescent="0.25">
      <c r="H655" t="s">
        <v>816</v>
      </c>
      <c r="I655" t="s">
        <v>215</v>
      </c>
    </row>
    <row r="656" spans="8:9" x14ac:dyDescent="0.25">
      <c r="H656" t="s">
        <v>817</v>
      </c>
      <c r="I656" t="s">
        <v>215</v>
      </c>
    </row>
    <row r="657" spans="8:9" x14ac:dyDescent="0.25">
      <c r="H657" t="s">
        <v>818</v>
      </c>
      <c r="I657" t="s">
        <v>215</v>
      </c>
    </row>
    <row r="658" spans="8:9" x14ac:dyDescent="0.25">
      <c r="H658" t="s">
        <v>819</v>
      </c>
      <c r="I658" t="s">
        <v>215</v>
      </c>
    </row>
    <row r="659" spans="8:9" x14ac:dyDescent="0.25">
      <c r="H659" t="s">
        <v>820</v>
      </c>
      <c r="I659" t="s">
        <v>215</v>
      </c>
    </row>
    <row r="660" spans="8:9" x14ac:dyDescent="0.25">
      <c r="H660" t="s">
        <v>821</v>
      </c>
      <c r="I660" t="s">
        <v>215</v>
      </c>
    </row>
    <row r="661" spans="8:9" x14ac:dyDescent="0.25">
      <c r="H661" t="s">
        <v>822</v>
      </c>
      <c r="I661" t="s">
        <v>215</v>
      </c>
    </row>
    <row r="662" spans="8:9" x14ac:dyDescent="0.25">
      <c r="H662" t="s">
        <v>823</v>
      </c>
      <c r="I662" t="s">
        <v>215</v>
      </c>
    </row>
    <row r="663" spans="8:9" x14ac:dyDescent="0.25">
      <c r="H663" t="s">
        <v>824</v>
      </c>
      <c r="I663" t="s">
        <v>215</v>
      </c>
    </row>
    <row r="664" spans="8:9" x14ac:dyDescent="0.25">
      <c r="H664" t="s">
        <v>825</v>
      </c>
      <c r="I664" t="s">
        <v>215</v>
      </c>
    </row>
    <row r="665" spans="8:9" x14ac:dyDescent="0.25">
      <c r="H665" t="s">
        <v>826</v>
      </c>
      <c r="I665" t="s">
        <v>215</v>
      </c>
    </row>
    <row r="666" spans="8:9" x14ac:dyDescent="0.25">
      <c r="H666" t="s">
        <v>827</v>
      </c>
      <c r="I666" t="s">
        <v>215</v>
      </c>
    </row>
    <row r="667" spans="8:9" x14ac:dyDescent="0.25">
      <c r="H667" t="s">
        <v>828</v>
      </c>
      <c r="I667" t="s">
        <v>215</v>
      </c>
    </row>
    <row r="668" spans="8:9" x14ac:dyDescent="0.25">
      <c r="H668" t="s">
        <v>829</v>
      </c>
      <c r="I668" t="s">
        <v>215</v>
      </c>
    </row>
    <row r="669" spans="8:9" x14ac:dyDescent="0.25">
      <c r="H669" t="s">
        <v>830</v>
      </c>
      <c r="I669" t="s">
        <v>215</v>
      </c>
    </row>
    <row r="670" spans="8:9" x14ac:dyDescent="0.25">
      <c r="H670" t="s">
        <v>831</v>
      </c>
      <c r="I670" t="s">
        <v>215</v>
      </c>
    </row>
    <row r="671" spans="8:9" x14ac:dyDescent="0.25">
      <c r="H671" t="s">
        <v>832</v>
      </c>
      <c r="I671" t="s">
        <v>215</v>
      </c>
    </row>
    <row r="672" spans="8:9" x14ac:dyDescent="0.25">
      <c r="H672" t="s">
        <v>833</v>
      </c>
      <c r="I672" t="s">
        <v>215</v>
      </c>
    </row>
    <row r="673" spans="8:9" x14ac:dyDescent="0.25">
      <c r="H673" t="s">
        <v>834</v>
      </c>
      <c r="I673" t="s">
        <v>215</v>
      </c>
    </row>
    <row r="674" spans="8:9" x14ac:dyDescent="0.25">
      <c r="H674" t="s">
        <v>835</v>
      </c>
      <c r="I674" t="s">
        <v>215</v>
      </c>
    </row>
    <row r="675" spans="8:9" x14ac:dyDescent="0.25">
      <c r="H675" t="s">
        <v>836</v>
      </c>
      <c r="I675" t="s">
        <v>215</v>
      </c>
    </row>
    <row r="676" spans="8:9" x14ac:dyDescent="0.25">
      <c r="H676" t="s">
        <v>837</v>
      </c>
      <c r="I676" t="s">
        <v>215</v>
      </c>
    </row>
    <row r="677" spans="8:9" x14ac:dyDescent="0.25">
      <c r="H677" t="s">
        <v>838</v>
      </c>
      <c r="I677" t="s">
        <v>215</v>
      </c>
    </row>
    <row r="678" spans="8:9" x14ac:dyDescent="0.25">
      <c r="H678" t="s">
        <v>839</v>
      </c>
      <c r="I678" t="s">
        <v>215</v>
      </c>
    </row>
    <row r="679" spans="8:9" x14ac:dyDescent="0.25">
      <c r="H679" t="s">
        <v>840</v>
      </c>
      <c r="I679" t="s">
        <v>215</v>
      </c>
    </row>
    <row r="680" spans="8:9" x14ac:dyDescent="0.25">
      <c r="H680" t="s">
        <v>841</v>
      </c>
      <c r="I680" t="s">
        <v>215</v>
      </c>
    </row>
    <row r="681" spans="8:9" x14ac:dyDescent="0.25">
      <c r="H681" t="s">
        <v>842</v>
      </c>
      <c r="I681" t="s">
        <v>215</v>
      </c>
    </row>
    <row r="682" spans="8:9" x14ac:dyDescent="0.25">
      <c r="H682" t="s">
        <v>843</v>
      </c>
      <c r="I682" t="s">
        <v>215</v>
      </c>
    </row>
    <row r="683" spans="8:9" x14ac:dyDescent="0.25">
      <c r="H683" t="s">
        <v>844</v>
      </c>
      <c r="I683" t="s">
        <v>215</v>
      </c>
    </row>
    <row r="684" spans="8:9" x14ac:dyDescent="0.25">
      <c r="H684" t="s">
        <v>845</v>
      </c>
      <c r="I684" t="s">
        <v>215</v>
      </c>
    </row>
    <row r="685" spans="8:9" x14ac:dyDescent="0.25">
      <c r="H685" t="s">
        <v>846</v>
      </c>
      <c r="I685" t="s">
        <v>215</v>
      </c>
    </row>
    <row r="686" spans="8:9" x14ac:dyDescent="0.25">
      <c r="H686" t="s">
        <v>847</v>
      </c>
      <c r="I686" t="s">
        <v>215</v>
      </c>
    </row>
    <row r="687" spans="8:9" x14ac:dyDescent="0.25">
      <c r="H687" t="s">
        <v>848</v>
      </c>
      <c r="I687" t="s">
        <v>215</v>
      </c>
    </row>
    <row r="688" spans="8:9" x14ac:dyDescent="0.25">
      <c r="H688" t="s">
        <v>849</v>
      </c>
      <c r="I688" t="s">
        <v>215</v>
      </c>
    </row>
    <row r="689" spans="8:9" x14ac:dyDescent="0.25">
      <c r="H689" t="s">
        <v>850</v>
      </c>
      <c r="I689" t="s">
        <v>215</v>
      </c>
    </row>
    <row r="690" spans="8:9" x14ac:dyDescent="0.25">
      <c r="H690" t="s">
        <v>851</v>
      </c>
      <c r="I690" t="s">
        <v>215</v>
      </c>
    </row>
    <row r="691" spans="8:9" x14ac:dyDescent="0.25">
      <c r="H691" t="s">
        <v>852</v>
      </c>
      <c r="I691" t="s">
        <v>215</v>
      </c>
    </row>
    <row r="692" spans="8:9" x14ac:dyDescent="0.25">
      <c r="H692" t="s">
        <v>853</v>
      </c>
      <c r="I692" t="s">
        <v>215</v>
      </c>
    </row>
    <row r="693" spans="8:9" x14ac:dyDescent="0.25">
      <c r="H693" t="s">
        <v>854</v>
      </c>
      <c r="I693" t="s">
        <v>215</v>
      </c>
    </row>
    <row r="694" spans="8:9" x14ac:dyDescent="0.25">
      <c r="H694" t="s">
        <v>855</v>
      </c>
      <c r="I694" t="s">
        <v>215</v>
      </c>
    </row>
    <row r="695" spans="8:9" x14ac:dyDescent="0.25">
      <c r="H695" t="s">
        <v>856</v>
      </c>
      <c r="I695" t="s">
        <v>215</v>
      </c>
    </row>
    <row r="696" spans="8:9" x14ac:dyDescent="0.25">
      <c r="H696" t="s">
        <v>857</v>
      </c>
      <c r="I696" t="s">
        <v>215</v>
      </c>
    </row>
    <row r="697" spans="8:9" x14ac:dyDescent="0.25">
      <c r="H697" t="s">
        <v>858</v>
      </c>
      <c r="I697" t="s">
        <v>215</v>
      </c>
    </row>
    <row r="698" spans="8:9" x14ac:dyDescent="0.25">
      <c r="H698" t="s">
        <v>859</v>
      </c>
      <c r="I698" t="s">
        <v>215</v>
      </c>
    </row>
    <row r="699" spans="8:9" x14ac:dyDescent="0.25">
      <c r="H699" t="s">
        <v>860</v>
      </c>
      <c r="I699" t="s">
        <v>215</v>
      </c>
    </row>
    <row r="700" spans="8:9" x14ac:dyDescent="0.25">
      <c r="H700" t="s">
        <v>861</v>
      </c>
      <c r="I700" t="s">
        <v>215</v>
      </c>
    </row>
    <row r="701" spans="8:9" x14ac:dyDescent="0.25">
      <c r="H701" t="s">
        <v>862</v>
      </c>
      <c r="I701" t="s">
        <v>215</v>
      </c>
    </row>
    <row r="702" spans="8:9" x14ac:dyDescent="0.25">
      <c r="H702" t="s">
        <v>863</v>
      </c>
      <c r="I702" t="s">
        <v>215</v>
      </c>
    </row>
    <row r="703" spans="8:9" x14ac:dyDescent="0.25">
      <c r="H703" t="s">
        <v>864</v>
      </c>
      <c r="I703" t="s">
        <v>215</v>
      </c>
    </row>
    <row r="704" spans="8:9" x14ac:dyDescent="0.25">
      <c r="H704" t="s">
        <v>865</v>
      </c>
      <c r="I704" t="s">
        <v>215</v>
      </c>
    </row>
    <row r="705" spans="8:9" x14ac:dyDescent="0.25">
      <c r="H705" t="s">
        <v>866</v>
      </c>
      <c r="I705" t="s">
        <v>215</v>
      </c>
    </row>
    <row r="706" spans="8:9" x14ac:dyDescent="0.25">
      <c r="H706" t="s">
        <v>867</v>
      </c>
      <c r="I706" t="s">
        <v>215</v>
      </c>
    </row>
    <row r="707" spans="8:9" x14ac:dyDescent="0.25">
      <c r="H707" t="s">
        <v>868</v>
      </c>
      <c r="I707" t="s">
        <v>215</v>
      </c>
    </row>
    <row r="708" spans="8:9" x14ac:dyDescent="0.25">
      <c r="H708" t="s">
        <v>869</v>
      </c>
      <c r="I708" t="s">
        <v>215</v>
      </c>
    </row>
    <row r="709" spans="8:9" x14ac:dyDescent="0.25">
      <c r="H709" t="s">
        <v>870</v>
      </c>
      <c r="I709" t="s">
        <v>215</v>
      </c>
    </row>
    <row r="710" spans="8:9" x14ac:dyDescent="0.25">
      <c r="H710" t="s">
        <v>871</v>
      </c>
      <c r="I710" t="s">
        <v>215</v>
      </c>
    </row>
    <row r="711" spans="8:9" x14ac:dyDescent="0.25">
      <c r="H711" t="s">
        <v>872</v>
      </c>
      <c r="I711" t="s">
        <v>215</v>
      </c>
    </row>
    <row r="712" spans="8:9" x14ac:dyDescent="0.25">
      <c r="H712" t="s">
        <v>873</v>
      </c>
      <c r="I712" t="s">
        <v>215</v>
      </c>
    </row>
    <row r="713" spans="8:9" x14ac:dyDescent="0.25">
      <c r="H713" t="s">
        <v>874</v>
      </c>
      <c r="I713" t="s">
        <v>215</v>
      </c>
    </row>
    <row r="714" spans="8:9" x14ac:dyDescent="0.25">
      <c r="H714" t="s">
        <v>875</v>
      </c>
      <c r="I714" t="s">
        <v>215</v>
      </c>
    </row>
    <row r="715" spans="8:9" x14ac:dyDescent="0.25">
      <c r="H715" t="s">
        <v>876</v>
      </c>
      <c r="I715" t="s">
        <v>215</v>
      </c>
    </row>
    <row r="716" spans="8:9" x14ac:dyDescent="0.25">
      <c r="H716" t="s">
        <v>877</v>
      </c>
      <c r="I716" t="s">
        <v>215</v>
      </c>
    </row>
    <row r="717" spans="8:9" x14ac:dyDescent="0.25">
      <c r="H717" t="s">
        <v>878</v>
      </c>
      <c r="I717" t="s">
        <v>215</v>
      </c>
    </row>
    <row r="718" spans="8:9" x14ac:dyDescent="0.25">
      <c r="H718" t="s">
        <v>879</v>
      </c>
      <c r="I718" t="s">
        <v>215</v>
      </c>
    </row>
    <row r="719" spans="8:9" x14ac:dyDescent="0.25">
      <c r="H719" t="s">
        <v>880</v>
      </c>
      <c r="I719" t="s">
        <v>215</v>
      </c>
    </row>
    <row r="720" spans="8:9" x14ac:dyDescent="0.25">
      <c r="H720" t="s">
        <v>881</v>
      </c>
      <c r="I720" t="s">
        <v>215</v>
      </c>
    </row>
    <row r="721" spans="8:9" x14ac:dyDescent="0.25">
      <c r="H721" t="s">
        <v>882</v>
      </c>
      <c r="I721" t="s">
        <v>215</v>
      </c>
    </row>
    <row r="722" spans="8:9" x14ac:dyDescent="0.25">
      <c r="H722" t="s">
        <v>883</v>
      </c>
      <c r="I722" t="s">
        <v>215</v>
      </c>
    </row>
    <row r="723" spans="8:9" x14ac:dyDescent="0.25">
      <c r="H723" t="s">
        <v>884</v>
      </c>
      <c r="I723" t="s">
        <v>215</v>
      </c>
    </row>
    <row r="724" spans="8:9" x14ac:dyDescent="0.25">
      <c r="H724" t="s">
        <v>885</v>
      </c>
      <c r="I724" t="s">
        <v>215</v>
      </c>
    </row>
    <row r="725" spans="8:9" x14ac:dyDescent="0.25">
      <c r="H725" t="s">
        <v>886</v>
      </c>
      <c r="I725" t="s">
        <v>215</v>
      </c>
    </row>
    <row r="726" spans="8:9" x14ac:dyDescent="0.25">
      <c r="H726" t="s">
        <v>887</v>
      </c>
      <c r="I726" t="s">
        <v>215</v>
      </c>
    </row>
    <row r="727" spans="8:9" x14ac:dyDescent="0.25">
      <c r="H727" t="s">
        <v>888</v>
      </c>
      <c r="I727" t="s">
        <v>215</v>
      </c>
    </row>
    <row r="728" spans="8:9" x14ac:dyDescent="0.25">
      <c r="H728" t="s">
        <v>889</v>
      </c>
      <c r="I728" t="s">
        <v>215</v>
      </c>
    </row>
    <row r="729" spans="8:9" x14ac:dyDescent="0.25">
      <c r="H729" t="s">
        <v>890</v>
      </c>
      <c r="I729" t="s">
        <v>215</v>
      </c>
    </row>
    <row r="730" spans="8:9" x14ac:dyDescent="0.25">
      <c r="H730" t="s">
        <v>891</v>
      </c>
      <c r="I730" t="s">
        <v>215</v>
      </c>
    </row>
    <row r="731" spans="8:9" x14ac:dyDescent="0.25">
      <c r="H731" t="s">
        <v>892</v>
      </c>
      <c r="I731" t="s">
        <v>215</v>
      </c>
    </row>
    <row r="732" spans="8:9" x14ac:dyDescent="0.25">
      <c r="H732" t="s">
        <v>893</v>
      </c>
      <c r="I732" t="s">
        <v>215</v>
      </c>
    </row>
    <row r="733" spans="8:9" x14ac:dyDescent="0.25">
      <c r="H733" t="s">
        <v>894</v>
      </c>
      <c r="I733" t="s">
        <v>215</v>
      </c>
    </row>
    <row r="734" spans="8:9" x14ac:dyDescent="0.25">
      <c r="H734" t="s">
        <v>895</v>
      </c>
      <c r="I734" t="s">
        <v>215</v>
      </c>
    </row>
    <row r="735" spans="8:9" x14ac:dyDescent="0.25">
      <c r="H735" t="s">
        <v>896</v>
      </c>
      <c r="I735" t="s">
        <v>215</v>
      </c>
    </row>
    <row r="736" spans="8:9" x14ac:dyDescent="0.25">
      <c r="H736" t="s">
        <v>897</v>
      </c>
      <c r="I736" t="s">
        <v>215</v>
      </c>
    </row>
    <row r="737" spans="8:9" x14ac:dyDescent="0.25">
      <c r="H737" t="s">
        <v>898</v>
      </c>
      <c r="I737" t="s">
        <v>215</v>
      </c>
    </row>
    <row r="738" spans="8:9" x14ac:dyDescent="0.25">
      <c r="H738" t="s">
        <v>899</v>
      </c>
      <c r="I738" t="s">
        <v>215</v>
      </c>
    </row>
    <row r="739" spans="8:9" x14ac:dyDescent="0.25">
      <c r="H739" t="s">
        <v>900</v>
      </c>
      <c r="I739" t="s">
        <v>215</v>
      </c>
    </row>
    <row r="740" spans="8:9" x14ac:dyDescent="0.25">
      <c r="H740" t="s">
        <v>901</v>
      </c>
      <c r="I740" t="s">
        <v>215</v>
      </c>
    </row>
    <row r="741" spans="8:9" x14ac:dyDescent="0.25">
      <c r="H741" t="s">
        <v>902</v>
      </c>
      <c r="I741" t="s">
        <v>215</v>
      </c>
    </row>
    <row r="742" spans="8:9" x14ac:dyDescent="0.25">
      <c r="H742" t="s">
        <v>903</v>
      </c>
      <c r="I742" t="s">
        <v>215</v>
      </c>
    </row>
    <row r="743" spans="8:9" x14ac:dyDescent="0.25">
      <c r="H743" t="s">
        <v>904</v>
      </c>
      <c r="I743" t="s">
        <v>215</v>
      </c>
    </row>
    <row r="744" spans="8:9" x14ac:dyDescent="0.25">
      <c r="H744" t="s">
        <v>905</v>
      </c>
      <c r="I744" t="s">
        <v>215</v>
      </c>
    </row>
    <row r="745" spans="8:9" x14ac:dyDescent="0.25">
      <c r="H745" t="s">
        <v>906</v>
      </c>
      <c r="I745" t="s">
        <v>215</v>
      </c>
    </row>
    <row r="746" spans="8:9" x14ac:dyDescent="0.25">
      <c r="H746" t="s">
        <v>907</v>
      </c>
      <c r="I746" t="s">
        <v>215</v>
      </c>
    </row>
    <row r="747" spans="8:9" x14ac:dyDescent="0.25">
      <c r="H747" t="s">
        <v>908</v>
      </c>
      <c r="I747" t="s">
        <v>215</v>
      </c>
    </row>
    <row r="748" spans="8:9" x14ac:dyDescent="0.25">
      <c r="H748" t="s">
        <v>909</v>
      </c>
      <c r="I748" t="s">
        <v>215</v>
      </c>
    </row>
    <row r="749" spans="8:9" x14ac:dyDescent="0.25">
      <c r="H749" t="s">
        <v>910</v>
      </c>
      <c r="I749" t="s">
        <v>215</v>
      </c>
    </row>
    <row r="750" spans="8:9" x14ac:dyDescent="0.25">
      <c r="H750" t="s">
        <v>911</v>
      </c>
      <c r="I750" t="s">
        <v>215</v>
      </c>
    </row>
    <row r="751" spans="8:9" x14ac:dyDescent="0.25">
      <c r="H751" t="s">
        <v>912</v>
      </c>
      <c r="I751" t="s">
        <v>215</v>
      </c>
    </row>
    <row r="752" spans="8:9" x14ac:dyDescent="0.25">
      <c r="H752" t="s">
        <v>913</v>
      </c>
      <c r="I752" t="s">
        <v>215</v>
      </c>
    </row>
    <row r="753" spans="8:9" x14ac:dyDescent="0.25">
      <c r="H753" t="s">
        <v>914</v>
      </c>
      <c r="I753" t="s">
        <v>215</v>
      </c>
    </row>
    <row r="754" spans="8:9" x14ac:dyDescent="0.25">
      <c r="H754" t="s">
        <v>915</v>
      </c>
      <c r="I754" t="s">
        <v>215</v>
      </c>
    </row>
    <row r="755" spans="8:9" x14ac:dyDescent="0.25">
      <c r="H755" t="s">
        <v>916</v>
      </c>
      <c r="I755" t="s">
        <v>215</v>
      </c>
    </row>
    <row r="756" spans="8:9" x14ac:dyDescent="0.25">
      <c r="H756" t="s">
        <v>917</v>
      </c>
      <c r="I756" t="s">
        <v>215</v>
      </c>
    </row>
    <row r="757" spans="8:9" x14ac:dyDescent="0.25">
      <c r="H757" t="s">
        <v>918</v>
      </c>
      <c r="I757" t="s">
        <v>215</v>
      </c>
    </row>
    <row r="758" spans="8:9" x14ac:dyDescent="0.25">
      <c r="H758" t="s">
        <v>919</v>
      </c>
      <c r="I758" t="s">
        <v>215</v>
      </c>
    </row>
    <row r="759" spans="8:9" x14ac:dyDescent="0.25">
      <c r="H759" t="s">
        <v>920</v>
      </c>
      <c r="I759" t="s">
        <v>215</v>
      </c>
    </row>
    <row r="760" spans="8:9" x14ac:dyDescent="0.25">
      <c r="H760" t="s">
        <v>921</v>
      </c>
      <c r="I760" t="s">
        <v>215</v>
      </c>
    </row>
    <row r="761" spans="8:9" x14ac:dyDescent="0.25">
      <c r="H761" t="s">
        <v>922</v>
      </c>
      <c r="I761" t="s">
        <v>215</v>
      </c>
    </row>
    <row r="762" spans="8:9" x14ac:dyDescent="0.25">
      <c r="H762" t="s">
        <v>923</v>
      </c>
      <c r="I762" t="s">
        <v>215</v>
      </c>
    </row>
    <row r="763" spans="8:9" x14ac:dyDescent="0.25">
      <c r="H763" t="s">
        <v>924</v>
      </c>
      <c r="I763" t="s">
        <v>215</v>
      </c>
    </row>
    <row r="764" spans="8:9" x14ac:dyDescent="0.25">
      <c r="H764" t="s">
        <v>925</v>
      </c>
      <c r="I764" t="s">
        <v>215</v>
      </c>
    </row>
    <row r="765" spans="8:9" x14ac:dyDescent="0.25">
      <c r="H765" t="s">
        <v>926</v>
      </c>
      <c r="I765" t="s">
        <v>215</v>
      </c>
    </row>
    <row r="766" spans="8:9" x14ac:dyDescent="0.25">
      <c r="H766" t="s">
        <v>927</v>
      </c>
      <c r="I766" t="s">
        <v>215</v>
      </c>
    </row>
    <row r="767" spans="8:9" x14ac:dyDescent="0.25">
      <c r="H767" t="s">
        <v>928</v>
      </c>
      <c r="I767" t="s">
        <v>215</v>
      </c>
    </row>
    <row r="768" spans="8:9" x14ac:dyDescent="0.25">
      <c r="H768" t="s">
        <v>929</v>
      </c>
      <c r="I768" t="s">
        <v>215</v>
      </c>
    </row>
    <row r="769" spans="8:9" x14ac:dyDescent="0.25">
      <c r="H769" t="s">
        <v>930</v>
      </c>
      <c r="I769" t="s">
        <v>215</v>
      </c>
    </row>
    <row r="770" spans="8:9" x14ac:dyDescent="0.25">
      <c r="H770" t="s">
        <v>931</v>
      </c>
      <c r="I770" t="s">
        <v>215</v>
      </c>
    </row>
    <row r="771" spans="8:9" x14ac:dyDescent="0.25">
      <c r="H771" t="s">
        <v>932</v>
      </c>
      <c r="I771" t="s">
        <v>215</v>
      </c>
    </row>
    <row r="772" spans="8:9" x14ac:dyDescent="0.25">
      <c r="H772" t="s">
        <v>933</v>
      </c>
      <c r="I772" t="s">
        <v>215</v>
      </c>
    </row>
    <row r="773" spans="8:9" x14ac:dyDescent="0.25">
      <c r="H773" t="s">
        <v>934</v>
      </c>
      <c r="I773" t="s">
        <v>215</v>
      </c>
    </row>
    <row r="774" spans="8:9" x14ac:dyDescent="0.25">
      <c r="H774" t="s">
        <v>935</v>
      </c>
      <c r="I774" t="s">
        <v>215</v>
      </c>
    </row>
    <row r="775" spans="8:9" x14ac:dyDescent="0.25">
      <c r="H775" t="s">
        <v>936</v>
      </c>
      <c r="I775" t="s">
        <v>215</v>
      </c>
    </row>
    <row r="776" spans="8:9" x14ac:dyDescent="0.25">
      <c r="H776" t="s">
        <v>937</v>
      </c>
      <c r="I776" t="s">
        <v>215</v>
      </c>
    </row>
    <row r="777" spans="8:9" x14ac:dyDescent="0.25">
      <c r="H777" t="s">
        <v>938</v>
      </c>
      <c r="I777" t="s">
        <v>215</v>
      </c>
    </row>
    <row r="778" spans="8:9" x14ac:dyDescent="0.25">
      <c r="H778" t="s">
        <v>939</v>
      </c>
      <c r="I778" t="s">
        <v>215</v>
      </c>
    </row>
    <row r="779" spans="8:9" x14ac:dyDescent="0.25">
      <c r="H779" t="s">
        <v>940</v>
      </c>
      <c r="I779" t="s">
        <v>215</v>
      </c>
    </row>
    <row r="780" spans="8:9" x14ac:dyDescent="0.25">
      <c r="H780" t="s">
        <v>941</v>
      </c>
      <c r="I780" t="s">
        <v>215</v>
      </c>
    </row>
    <row r="781" spans="8:9" x14ac:dyDescent="0.25">
      <c r="H781" t="s">
        <v>942</v>
      </c>
      <c r="I781" t="s">
        <v>215</v>
      </c>
    </row>
    <row r="782" spans="8:9" x14ac:dyDescent="0.25">
      <c r="H782" t="s">
        <v>943</v>
      </c>
      <c r="I782" t="s">
        <v>215</v>
      </c>
    </row>
    <row r="783" spans="8:9" x14ac:dyDescent="0.25">
      <c r="H783" t="s">
        <v>944</v>
      </c>
      <c r="I783" t="s">
        <v>215</v>
      </c>
    </row>
    <row r="784" spans="8:9" x14ac:dyDescent="0.25">
      <c r="H784" t="s">
        <v>945</v>
      </c>
      <c r="I784" t="s">
        <v>215</v>
      </c>
    </row>
    <row r="785" spans="8:9" x14ac:dyDescent="0.25">
      <c r="H785" t="s">
        <v>946</v>
      </c>
      <c r="I785" t="s">
        <v>215</v>
      </c>
    </row>
    <row r="786" spans="8:9" x14ac:dyDescent="0.25">
      <c r="H786" t="s">
        <v>947</v>
      </c>
      <c r="I786" t="s">
        <v>215</v>
      </c>
    </row>
    <row r="787" spans="8:9" x14ac:dyDescent="0.25">
      <c r="H787" t="s">
        <v>948</v>
      </c>
      <c r="I787" t="s">
        <v>215</v>
      </c>
    </row>
    <row r="788" spans="8:9" x14ac:dyDescent="0.25">
      <c r="H788" t="s">
        <v>949</v>
      </c>
      <c r="I788" t="s">
        <v>215</v>
      </c>
    </row>
    <row r="789" spans="8:9" x14ac:dyDescent="0.25">
      <c r="H789" t="s">
        <v>950</v>
      </c>
      <c r="I789" t="s">
        <v>215</v>
      </c>
    </row>
    <row r="790" spans="8:9" x14ac:dyDescent="0.25">
      <c r="H790" t="s">
        <v>951</v>
      </c>
      <c r="I790" t="s">
        <v>215</v>
      </c>
    </row>
    <row r="791" spans="8:9" x14ac:dyDescent="0.25">
      <c r="H791" t="s">
        <v>952</v>
      </c>
      <c r="I791" t="s">
        <v>215</v>
      </c>
    </row>
    <row r="792" spans="8:9" x14ac:dyDescent="0.25">
      <c r="H792" t="s">
        <v>953</v>
      </c>
      <c r="I792" t="s">
        <v>215</v>
      </c>
    </row>
    <row r="793" spans="8:9" x14ac:dyDescent="0.25">
      <c r="H793" t="s">
        <v>954</v>
      </c>
      <c r="I793" t="s">
        <v>215</v>
      </c>
    </row>
    <row r="794" spans="8:9" x14ac:dyDescent="0.25">
      <c r="H794" t="s">
        <v>955</v>
      </c>
      <c r="I794" t="s">
        <v>215</v>
      </c>
    </row>
    <row r="795" spans="8:9" x14ac:dyDescent="0.25">
      <c r="H795" t="s">
        <v>956</v>
      </c>
      <c r="I795" t="s">
        <v>215</v>
      </c>
    </row>
    <row r="796" spans="8:9" x14ac:dyDescent="0.25">
      <c r="H796" t="s">
        <v>957</v>
      </c>
      <c r="I796" t="s">
        <v>215</v>
      </c>
    </row>
    <row r="797" spans="8:9" x14ac:dyDescent="0.25">
      <c r="H797" t="s">
        <v>958</v>
      </c>
      <c r="I797" t="s">
        <v>215</v>
      </c>
    </row>
    <row r="798" spans="8:9" x14ac:dyDescent="0.25">
      <c r="H798" t="s">
        <v>959</v>
      </c>
      <c r="I798" t="s">
        <v>215</v>
      </c>
    </row>
    <row r="799" spans="8:9" x14ac:dyDescent="0.25">
      <c r="H799" t="s">
        <v>960</v>
      </c>
      <c r="I799" t="s">
        <v>215</v>
      </c>
    </row>
    <row r="800" spans="8:9" x14ac:dyDescent="0.25">
      <c r="H800" t="s">
        <v>961</v>
      </c>
      <c r="I800" t="s">
        <v>215</v>
      </c>
    </row>
    <row r="801" spans="8:9" x14ac:dyDescent="0.25">
      <c r="H801" t="s">
        <v>962</v>
      </c>
      <c r="I801" t="s">
        <v>215</v>
      </c>
    </row>
    <row r="802" spans="8:9" x14ac:dyDescent="0.25">
      <c r="H802" t="s">
        <v>963</v>
      </c>
      <c r="I802" t="s">
        <v>215</v>
      </c>
    </row>
    <row r="803" spans="8:9" x14ac:dyDescent="0.25">
      <c r="H803" t="s">
        <v>964</v>
      </c>
      <c r="I803" t="s">
        <v>215</v>
      </c>
    </row>
    <row r="804" spans="8:9" x14ac:dyDescent="0.25">
      <c r="H804" t="s">
        <v>965</v>
      </c>
      <c r="I804" t="s">
        <v>215</v>
      </c>
    </row>
    <row r="805" spans="8:9" x14ac:dyDescent="0.25">
      <c r="H805" t="s">
        <v>966</v>
      </c>
      <c r="I805" t="s">
        <v>215</v>
      </c>
    </row>
    <row r="806" spans="8:9" x14ac:dyDescent="0.25">
      <c r="H806" t="s">
        <v>967</v>
      </c>
      <c r="I806" t="s">
        <v>215</v>
      </c>
    </row>
    <row r="807" spans="8:9" x14ac:dyDescent="0.25">
      <c r="H807" t="s">
        <v>968</v>
      </c>
      <c r="I807" t="s">
        <v>215</v>
      </c>
    </row>
    <row r="808" spans="8:9" x14ac:dyDescent="0.25">
      <c r="H808" t="s">
        <v>969</v>
      </c>
      <c r="I808" t="s">
        <v>215</v>
      </c>
    </row>
    <row r="809" spans="8:9" x14ac:dyDescent="0.25">
      <c r="H809" t="s">
        <v>970</v>
      </c>
      <c r="I809" t="s">
        <v>215</v>
      </c>
    </row>
    <row r="810" spans="8:9" x14ac:dyDescent="0.25">
      <c r="H810" t="s">
        <v>971</v>
      </c>
      <c r="I810" t="s">
        <v>215</v>
      </c>
    </row>
    <row r="811" spans="8:9" x14ac:dyDescent="0.25">
      <c r="H811" t="s">
        <v>972</v>
      </c>
      <c r="I811" t="s">
        <v>215</v>
      </c>
    </row>
    <row r="812" spans="8:9" x14ac:dyDescent="0.25">
      <c r="H812" t="s">
        <v>973</v>
      </c>
      <c r="I812" t="s">
        <v>215</v>
      </c>
    </row>
    <row r="813" spans="8:9" x14ac:dyDescent="0.25">
      <c r="H813" t="s">
        <v>974</v>
      </c>
      <c r="I813" t="s">
        <v>215</v>
      </c>
    </row>
    <row r="814" spans="8:9" x14ac:dyDescent="0.25">
      <c r="H814" t="s">
        <v>975</v>
      </c>
      <c r="I814" t="s">
        <v>215</v>
      </c>
    </row>
    <row r="815" spans="8:9" x14ac:dyDescent="0.25">
      <c r="H815" t="s">
        <v>976</v>
      </c>
      <c r="I815" t="s">
        <v>215</v>
      </c>
    </row>
    <row r="816" spans="8:9" x14ac:dyDescent="0.25">
      <c r="H816" t="s">
        <v>977</v>
      </c>
      <c r="I816" t="s">
        <v>215</v>
      </c>
    </row>
    <row r="817" spans="8:9" x14ac:dyDescent="0.25">
      <c r="H817" t="s">
        <v>978</v>
      </c>
      <c r="I817" t="s">
        <v>215</v>
      </c>
    </row>
    <row r="818" spans="8:9" x14ac:dyDescent="0.25">
      <c r="H818" t="s">
        <v>979</v>
      </c>
      <c r="I818" t="s">
        <v>215</v>
      </c>
    </row>
    <row r="819" spans="8:9" x14ac:dyDescent="0.25">
      <c r="H819" t="s">
        <v>980</v>
      </c>
      <c r="I819" t="s">
        <v>215</v>
      </c>
    </row>
    <row r="820" spans="8:9" x14ac:dyDescent="0.25">
      <c r="H820" t="s">
        <v>981</v>
      </c>
      <c r="I820" t="s">
        <v>215</v>
      </c>
    </row>
    <row r="821" spans="8:9" x14ac:dyDescent="0.25">
      <c r="H821" t="s">
        <v>982</v>
      </c>
      <c r="I821" t="s">
        <v>215</v>
      </c>
    </row>
    <row r="822" spans="8:9" x14ac:dyDescent="0.25">
      <c r="H822" t="s">
        <v>983</v>
      </c>
      <c r="I822" t="s">
        <v>215</v>
      </c>
    </row>
    <row r="823" spans="8:9" x14ac:dyDescent="0.25">
      <c r="H823" t="s">
        <v>984</v>
      </c>
      <c r="I823" t="s">
        <v>215</v>
      </c>
    </row>
    <row r="824" spans="8:9" x14ac:dyDescent="0.25">
      <c r="H824" t="s">
        <v>985</v>
      </c>
      <c r="I824" t="s">
        <v>215</v>
      </c>
    </row>
    <row r="825" spans="8:9" x14ac:dyDescent="0.25">
      <c r="H825" t="s">
        <v>986</v>
      </c>
      <c r="I825" t="s">
        <v>215</v>
      </c>
    </row>
    <row r="826" spans="8:9" x14ac:dyDescent="0.25">
      <c r="H826" t="s">
        <v>987</v>
      </c>
      <c r="I826" t="s">
        <v>215</v>
      </c>
    </row>
    <row r="827" spans="8:9" x14ac:dyDescent="0.25">
      <c r="H827" t="s">
        <v>988</v>
      </c>
      <c r="I827" t="s">
        <v>215</v>
      </c>
    </row>
    <row r="828" spans="8:9" x14ac:dyDescent="0.25">
      <c r="H828" t="s">
        <v>989</v>
      </c>
      <c r="I828" t="s">
        <v>215</v>
      </c>
    </row>
    <row r="829" spans="8:9" x14ac:dyDescent="0.25">
      <c r="H829" t="s">
        <v>990</v>
      </c>
      <c r="I829" t="s">
        <v>215</v>
      </c>
    </row>
    <row r="830" spans="8:9" x14ac:dyDescent="0.25">
      <c r="H830" t="s">
        <v>190</v>
      </c>
      <c r="I830" t="s">
        <v>196</v>
      </c>
    </row>
    <row r="831" spans="8:9" x14ac:dyDescent="0.25">
      <c r="H831" t="s">
        <v>991</v>
      </c>
      <c r="I831" t="s">
        <v>215</v>
      </c>
    </row>
    <row r="832" spans="8:9" x14ac:dyDescent="0.25">
      <c r="H832" t="s">
        <v>992</v>
      </c>
      <c r="I832" t="s">
        <v>215</v>
      </c>
    </row>
    <row r="833" spans="8:9" x14ac:dyDescent="0.25">
      <c r="H833" t="s">
        <v>993</v>
      </c>
      <c r="I833" t="s">
        <v>215</v>
      </c>
    </row>
    <row r="834" spans="8:9" x14ac:dyDescent="0.25">
      <c r="H834" t="s">
        <v>994</v>
      </c>
      <c r="I834" t="s">
        <v>215</v>
      </c>
    </row>
    <row r="835" spans="8:9" x14ac:dyDescent="0.25">
      <c r="H835" t="s">
        <v>995</v>
      </c>
      <c r="I835" t="s">
        <v>215</v>
      </c>
    </row>
    <row r="836" spans="8:9" x14ac:dyDescent="0.25">
      <c r="H836" t="s">
        <v>996</v>
      </c>
      <c r="I836" t="s">
        <v>215</v>
      </c>
    </row>
    <row r="837" spans="8:9" x14ac:dyDescent="0.25">
      <c r="H837" t="s">
        <v>174</v>
      </c>
      <c r="I837" t="s">
        <v>201</v>
      </c>
    </row>
    <row r="838" spans="8:9" x14ac:dyDescent="0.25">
      <c r="H838" t="s">
        <v>997</v>
      </c>
      <c r="I838" t="s">
        <v>215</v>
      </c>
    </row>
    <row r="839" spans="8:9" x14ac:dyDescent="0.25">
      <c r="H839" t="s">
        <v>998</v>
      </c>
      <c r="I839" t="s">
        <v>215</v>
      </c>
    </row>
    <row r="840" spans="8:9" x14ac:dyDescent="0.25">
      <c r="H840" t="s">
        <v>999</v>
      </c>
      <c r="I840" t="s">
        <v>215</v>
      </c>
    </row>
    <row r="841" spans="8:9" x14ac:dyDescent="0.25">
      <c r="H841" t="s">
        <v>1000</v>
      </c>
      <c r="I841" t="s">
        <v>215</v>
      </c>
    </row>
    <row r="842" spans="8:9" x14ac:dyDescent="0.25">
      <c r="H842" t="s">
        <v>1001</v>
      </c>
      <c r="I842" t="s">
        <v>215</v>
      </c>
    </row>
    <row r="843" spans="8:9" x14ac:dyDescent="0.25">
      <c r="H843" t="s">
        <v>1002</v>
      </c>
      <c r="I843" t="s">
        <v>215</v>
      </c>
    </row>
    <row r="844" spans="8:9" x14ac:dyDescent="0.25">
      <c r="H844" t="s">
        <v>1003</v>
      </c>
      <c r="I844" t="s">
        <v>215</v>
      </c>
    </row>
    <row r="845" spans="8:9" x14ac:dyDescent="0.25">
      <c r="H845" t="s">
        <v>1004</v>
      </c>
      <c r="I845" t="s">
        <v>215</v>
      </c>
    </row>
    <row r="846" spans="8:9" x14ac:dyDescent="0.25">
      <c r="H846" t="s">
        <v>1005</v>
      </c>
      <c r="I846" t="s">
        <v>215</v>
      </c>
    </row>
    <row r="847" spans="8:9" x14ac:dyDescent="0.25">
      <c r="H847" t="s">
        <v>1006</v>
      </c>
      <c r="I847" t="s">
        <v>215</v>
      </c>
    </row>
    <row r="848" spans="8:9" x14ac:dyDescent="0.25">
      <c r="H848" t="s">
        <v>1007</v>
      </c>
      <c r="I848" t="s">
        <v>215</v>
      </c>
    </row>
    <row r="849" spans="8:9" x14ac:dyDescent="0.25">
      <c r="H849" t="s">
        <v>1008</v>
      </c>
      <c r="I849" t="s">
        <v>215</v>
      </c>
    </row>
    <row r="850" spans="8:9" x14ac:dyDescent="0.25">
      <c r="H850" t="s">
        <v>1009</v>
      </c>
      <c r="I850" t="s">
        <v>215</v>
      </c>
    </row>
    <row r="851" spans="8:9" x14ac:dyDescent="0.25">
      <c r="H851" t="s">
        <v>1010</v>
      </c>
      <c r="I851" t="s">
        <v>215</v>
      </c>
    </row>
    <row r="852" spans="8:9" x14ac:dyDescent="0.25">
      <c r="H852" t="s">
        <v>1011</v>
      </c>
      <c r="I852" t="s">
        <v>215</v>
      </c>
    </row>
    <row r="853" spans="8:9" x14ac:dyDescent="0.25">
      <c r="H853" t="s">
        <v>1012</v>
      </c>
      <c r="I853" t="s">
        <v>215</v>
      </c>
    </row>
    <row r="854" spans="8:9" x14ac:dyDescent="0.25">
      <c r="H854" t="s">
        <v>1013</v>
      </c>
      <c r="I854" t="s">
        <v>215</v>
      </c>
    </row>
    <row r="855" spans="8:9" x14ac:dyDescent="0.25">
      <c r="H855" t="s">
        <v>1014</v>
      </c>
      <c r="I855" t="s">
        <v>215</v>
      </c>
    </row>
    <row r="856" spans="8:9" x14ac:dyDescent="0.25">
      <c r="H856" t="s">
        <v>1015</v>
      </c>
      <c r="I856" t="s">
        <v>215</v>
      </c>
    </row>
    <row r="857" spans="8:9" x14ac:dyDescent="0.25">
      <c r="H857" t="s">
        <v>179</v>
      </c>
      <c r="I857" t="s">
        <v>196</v>
      </c>
    </row>
    <row r="858" spans="8:9" x14ac:dyDescent="0.25">
      <c r="H858" t="s">
        <v>1016</v>
      </c>
      <c r="I858" t="s">
        <v>196</v>
      </c>
    </row>
    <row r="859" spans="8:9" x14ac:dyDescent="0.25">
      <c r="H859" t="s">
        <v>1017</v>
      </c>
      <c r="I859" t="s">
        <v>215</v>
      </c>
    </row>
    <row r="860" spans="8:9" x14ac:dyDescent="0.25">
      <c r="H860" t="s">
        <v>1018</v>
      </c>
      <c r="I860" t="s">
        <v>215</v>
      </c>
    </row>
    <row r="861" spans="8:9" x14ac:dyDescent="0.25">
      <c r="H861" t="s">
        <v>1019</v>
      </c>
      <c r="I861" t="s">
        <v>215</v>
      </c>
    </row>
    <row r="862" spans="8:9" x14ac:dyDescent="0.25">
      <c r="H862" t="s">
        <v>1020</v>
      </c>
      <c r="I862" t="s">
        <v>215</v>
      </c>
    </row>
    <row r="863" spans="8:9" x14ac:dyDescent="0.25">
      <c r="H863" t="s">
        <v>1021</v>
      </c>
      <c r="I863" t="s">
        <v>215</v>
      </c>
    </row>
    <row r="864" spans="8:9" x14ac:dyDescent="0.25">
      <c r="H864" t="s">
        <v>1022</v>
      </c>
      <c r="I864" t="s">
        <v>196</v>
      </c>
    </row>
    <row r="865" spans="8:9" x14ac:dyDescent="0.25">
      <c r="H865" t="s">
        <v>1023</v>
      </c>
      <c r="I865" t="s">
        <v>215</v>
      </c>
    </row>
    <row r="866" spans="8:9" x14ac:dyDescent="0.25">
      <c r="H866" t="s">
        <v>1024</v>
      </c>
      <c r="I866" t="s">
        <v>215</v>
      </c>
    </row>
    <row r="867" spans="8:9" x14ac:dyDescent="0.25">
      <c r="H867" t="s">
        <v>1025</v>
      </c>
      <c r="I867" t="s">
        <v>215</v>
      </c>
    </row>
    <row r="868" spans="8:9" x14ac:dyDescent="0.25">
      <c r="H868" t="s">
        <v>1026</v>
      </c>
      <c r="I868" t="s">
        <v>215</v>
      </c>
    </row>
    <row r="869" spans="8:9" x14ac:dyDescent="0.25">
      <c r="H869" t="s">
        <v>1027</v>
      </c>
      <c r="I869" t="s">
        <v>215</v>
      </c>
    </row>
    <row r="870" spans="8:9" x14ac:dyDescent="0.25">
      <c r="H870" t="s">
        <v>1028</v>
      </c>
      <c r="I870" t="s">
        <v>215</v>
      </c>
    </row>
    <row r="871" spans="8:9" x14ac:dyDescent="0.25">
      <c r="H871" t="s">
        <v>1029</v>
      </c>
      <c r="I871" t="s">
        <v>215</v>
      </c>
    </row>
    <row r="872" spans="8:9" x14ac:dyDescent="0.25">
      <c r="H872" t="s">
        <v>1030</v>
      </c>
      <c r="I872" t="s">
        <v>215</v>
      </c>
    </row>
    <row r="873" spans="8:9" x14ac:dyDescent="0.25">
      <c r="H873" t="s">
        <v>1031</v>
      </c>
      <c r="I873" t="s">
        <v>215</v>
      </c>
    </row>
    <row r="874" spans="8:9" x14ac:dyDescent="0.25">
      <c r="H874" t="s">
        <v>1032</v>
      </c>
      <c r="I874" t="s">
        <v>215</v>
      </c>
    </row>
    <row r="875" spans="8:9" x14ac:dyDescent="0.25">
      <c r="H875" t="s">
        <v>1033</v>
      </c>
      <c r="I875" t="s">
        <v>215</v>
      </c>
    </row>
    <row r="876" spans="8:9" x14ac:dyDescent="0.25">
      <c r="H876" t="s">
        <v>1034</v>
      </c>
      <c r="I876" t="s">
        <v>215</v>
      </c>
    </row>
    <row r="877" spans="8:9" x14ac:dyDescent="0.25">
      <c r="H877" t="s">
        <v>1035</v>
      </c>
      <c r="I877" t="s">
        <v>215</v>
      </c>
    </row>
    <row r="878" spans="8:9" x14ac:dyDescent="0.25">
      <c r="H878" t="s">
        <v>1036</v>
      </c>
      <c r="I878" t="s">
        <v>215</v>
      </c>
    </row>
    <row r="879" spans="8:9" x14ac:dyDescent="0.25">
      <c r="H879" t="s">
        <v>1037</v>
      </c>
      <c r="I879" t="s">
        <v>215</v>
      </c>
    </row>
    <row r="880" spans="8:9" x14ac:dyDescent="0.25">
      <c r="H880" t="s">
        <v>1038</v>
      </c>
      <c r="I880" t="s">
        <v>215</v>
      </c>
    </row>
    <row r="881" spans="8:9" x14ac:dyDescent="0.25">
      <c r="H881" t="s">
        <v>1039</v>
      </c>
      <c r="I881" t="s">
        <v>215</v>
      </c>
    </row>
    <row r="882" spans="8:9" x14ac:dyDescent="0.25">
      <c r="H882" t="s">
        <v>1040</v>
      </c>
      <c r="I882" t="s">
        <v>215</v>
      </c>
    </row>
    <row r="883" spans="8:9" x14ac:dyDescent="0.25">
      <c r="H883" t="s">
        <v>1041</v>
      </c>
      <c r="I883" t="s">
        <v>215</v>
      </c>
    </row>
    <row r="884" spans="8:9" x14ac:dyDescent="0.25">
      <c r="H884" t="s">
        <v>1042</v>
      </c>
      <c r="I884" t="s">
        <v>215</v>
      </c>
    </row>
    <row r="885" spans="8:9" x14ac:dyDescent="0.25">
      <c r="H885" t="s">
        <v>1043</v>
      </c>
      <c r="I885" t="s">
        <v>215</v>
      </c>
    </row>
    <row r="886" spans="8:9" x14ac:dyDescent="0.25">
      <c r="H886" t="s">
        <v>1044</v>
      </c>
      <c r="I886" t="s">
        <v>215</v>
      </c>
    </row>
    <row r="887" spans="8:9" x14ac:dyDescent="0.25">
      <c r="H887" t="s">
        <v>1045</v>
      </c>
      <c r="I887" t="s">
        <v>215</v>
      </c>
    </row>
    <row r="888" spans="8:9" x14ac:dyDescent="0.25">
      <c r="H888" t="s">
        <v>1046</v>
      </c>
      <c r="I888" t="s">
        <v>215</v>
      </c>
    </row>
    <row r="889" spans="8:9" x14ac:dyDescent="0.25">
      <c r="H889" t="s">
        <v>1047</v>
      </c>
      <c r="I889" t="s">
        <v>215</v>
      </c>
    </row>
    <row r="890" spans="8:9" x14ac:dyDescent="0.25">
      <c r="H890" t="s">
        <v>1048</v>
      </c>
      <c r="I890" t="s">
        <v>215</v>
      </c>
    </row>
    <row r="891" spans="8:9" x14ac:dyDescent="0.25">
      <c r="H891" t="s">
        <v>1049</v>
      </c>
      <c r="I891" t="s">
        <v>215</v>
      </c>
    </row>
    <row r="892" spans="8:9" x14ac:dyDescent="0.25">
      <c r="H892" t="s">
        <v>1050</v>
      </c>
      <c r="I892" t="s">
        <v>215</v>
      </c>
    </row>
    <row r="893" spans="8:9" x14ac:dyDescent="0.25">
      <c r="H893" t="s">
        <v>1051</v>
      </c>
      <c r="I893" t="s">
        <v>215</v>
      </c>
    </row>
    <row r="894" spans="8:9" x14ac:dyDescent="0.25">
      <c r="H894" t="s">
        <v>1052</v>
      </c>
      <c r="I894" t="s">
        <v>215</v>
      </c>
    </row>
    <row r="895" spans="8:9" x14ac:dyDescent="0.25">
      <c r="H895" t="s">
        <v>1053</v>
      </c>
      <c r="I895" t="s">
        <v>215</v>
      </c>
    </row>
    <row r="896" spans="8:9" x14ac:dyDescent="0.25">
      <c r="H896" t="s">
        <v>1054</v>
      </c>
      <c r="I896" t="s">
        <v>215</v>
      </c>
    </row>
    <row r="897" spans="8:9" x14ac:dyDescent="0.25">
      <c r="H897" t="s">
        <v>1055</v>
      </c>
      <c r="I897" t="s">
        <v>215</v>
      </c>
    </row>
    <row r="898" spans="8:9" x14ac:dyDescent="0.25">
      <c r="H898" t="s">
        <v>1056</v>
      </c>
      <c r="I898" t="s">
        <v>215</v>
      </c>
    </row>
    <row r="899" spans="8:9" x14ac:dyDescent="0.25">
      <c r="H899" t="s">
        <v>1057</v>
      </c>
      <c r="I899" t="s">
        <v>215</v>
      </c>
    </row>
    <row r="900" spans="8:9" x14ac:dyDescent="0.25">
      <c r="H900" t="s">
        <v>1058</v>
      </c>
      <c r="I900" t="s">
        <v>215</v>
      </c>
    </row>
    <row r="901" spans="8:9" x14ac:dyDescent="0.25">
      <c r="H901" t="s">
        <v>1059</v>
      </c>
      <c r="I901" t="s">
        <v>215</v>
      </c>
    </row>
    <row r="902" spans="8:9" x14ac:dyDescent="0.25">
      <c r="H902" t="s">
        <v>1060</v>
      </c>
      <c r="I902" t="s">
        <v>215</v>
      </c>
    </row>
    <row r="903" spans="8:9" x14ac:dyDescent="0.25">
      <c r="H903" t="s">
        <v>1061</v>
      </c>
      <c r="I903" t="s">
        <v>215</v>
      </c>
    </row>
    <row r="904" spans="8:9" x14ac:dyDescent="0.25">
      <c r="H904" t="s">
        <v>1062</v>
      </c>
      <c r="I904" t="s">
        <v>215</v>
      </c>
    </row>
    <row r="905" spans="8:9" x14ac:dyDescent="0.25">
      <c r="H905" t="s">
        <v>1063</v>
      </c>
      <c r="I905" t="s">
        <v>215</v>
      </c>
    </row>
    <row r="906" spans="8:9" x14ac:dyDescent="0.25">
      <c r="H906" t="s">
        <v>1064</v>
      </c>
      <c r="I906" t="s">
        <v>215</v>
      </c>
    </row>
    <row r="907" spans="8:9" x14ac:dyDescent="0.25">
      <c r="H907" t="s">
        <v>1065</v>
      </c>
      <c r="I907" t="s">
        <v>215</v>
      </c>
    </row>
    <row r="908" spans="8:9" x14ac:dyDescent="0.25">
      <c r="H908" t="s">
        <v>1066</v>
      </c>
      <c r="I908" t="s">
        <v>215</v>
      </c>
    </row>
    <row r="909" spans="8:9" x14ac:dyDescent="0.25">
      <c r="H909" t="s">
        <v>1067</v>
      </c>
      <c r="I909" t="s">
        <v>215</v>
      </c>
    </row>
    <row r="910" spans="8:9" x14ac:dyDescent="0.25">
      <c r="H910" t="s">
        <v>1068</v>
      </c>
      <c r="I910" t="s">
        <v>215</v>
      </c>
    </row>
    <row r="911" spans="8:9" x14ac:dyDescent="0.25">
      <c r="H911" t="s">
        <v>1069</v>
      </c>
      <c r="I911" t="s">
        <v>215</v>
      </c>
    </row>
    <row r="912" spans="8:9" x14ac:dyDescent="0.25">
      <c r="H912" t="s">
        <v>1070</v>
      </c>
      <c r="I912" t="s">
        <v>215</v>
      </c>
    </row>
    <row r="913" spans="8:9" x14ac:dyDescent="0.25">
      <c r="H913" t="s">
        <v>1071</v>
      </c>
      <c r="I913" t="s">
        <v>215</v>
      </c>
    </row>
    <row r="914" spans="8:9" x14ac:dyDescent="0.25">
      <c r="H914" t="s">
        <v>1072</v>
      </c>
      <c r="I914" t="s">
        <v>215</v>
      </c>
    </row>
    <row r="915" spans="8:9" x14ac:dyDescent="0.25">
      <c r="H915" t="s">
        <v>1073</v>
      </c>
      <c r="I915" t="s">
        <v>215</v>
      </c>
    </row>
    <row r="916" spans="8:9" x14ac:dyDescent="0.25">
      <c r="H916" t="s">
        <v>1074</v>
      </c>
      <c r="I916" t="s">
        <v>215</v>
      </c>
    </row>
    <row r="917" spans="8:9" x14ac:dyDescent="0.25">
      <c r="H917" t="s">
        <v>1075</v>
      </c>
      <c r="I917" t="s">
        <v>215</v>
      </c>
    </row>
    <row r="918" spans="8:9" x14ac:dyDescent="0.25">
      <c r="H918" t="s">
        <v>1076</v>
      </c>
      <c r="I918" t="s">
        <v>215</v>
      </c>
    </row>
    <row r="919" spans="8:9" x14ac:dyDescent="0.25">
      <c r="H919" t="s">
        <v>1077</v>
      </c>
      <c r="I919" t="s">
        <v>215</v>
      </c>
    </row>
    <row r="920" spans="8:9" x14ac:dyDescent="0.25">
      <c r="H920" t="s">
        <v>1078</v>
      </c>
      <c r="I920" t="s">
        <v>215</v>
      </c>
    </row>
    <row r="921" spans="8:9" x14ac:dyDescent="0.25">
      <c r="H921" t="s">
        <v>1079</v>
      </c>
      <c r="I921" t="s">
        <v>215</v>
      </c>
    </row>
    <row r="922" spans="8:9" x14ac:dyDescent="0.25">
      <c r="H922" t="s">
        <v>1080</v>
      </c>
      <c r="I922" t="s">
        <v>215</v>
      </c>
    </row>
    <row r="923" spans="8:9" x14ac:dyDescent="0.25">
      <c r="H923" t="s">
        <v>1081</v>
      </c>
      <c r="I923" t="s">
        <v>215</v>
      </c>
    </row>
    <row r="924" spans="8:9" x14ac:dyDescent="0.25">
      <c r="H924" t="s">
        <v>1082</v>
      </c>
      <c r="I924" t="s">
        <v>215</v>
      </c>
    </row>
    <row r="925" spans="8:9" x14ac:dyDescent="0.25">
      <c r="H925" t="s">
        <v>1083</v>
      </c>
      <c r="I925" t="s">
        <v>215</v>
      </c>
    </row>
    <row r="926" spans="8:9" x14ac:dyDescent="0.25">
      <c r="H926" t="s">
        <v>1084</v>
      </c>
      <c r="I926" t="s">
        <v>215</v>
      </c>
    </row>
    <row r="927" spans="8:9" x14ac:dyDescent="0.25">
      <c r="H927" t="s">
        <v>1085</v>
      </c>
      <c r="I927" t="s">
        <v>215</v>
      </c>
    </row>
    <row r="928" spans="8:9" x14ac:dyDescent="0.25">
      <c r="H928" t="s">
        <v>1086</v>
      </c>
      <c r="I928" t="s">
        <v>215</v>
      </c>
    </row>
    <row r="929" spans="8:9" x14ac:dyDescent="0.25">
      <c r="H929" t="s">
        <v>1087</v>
      </c>
      <c r="I929" t="s">
        <v>215</v>
      </c>
    </row>
    <row r="930" spans="8:9" x14ac:dyDescent="0.25">
      <c r="H930" t="s">
        <v>1088</v>
      </c>
      <c r="I930" t="s">
        <v>215</v>
      </c>
    </row>
    <row r="931" spans="8:9" x14ac:dyDescent="0.25">
      <c r="H931" t="s">
        <v>1089</v>
      </c>
      <c r="I931" t="s">
        <v>215</v>
      </c>
    </row>
    <row r="932" spans="8:9" x14ac:dyDescent="0.25">
      <c r="H932" t="s">
        <v>1090</v>
      </c>
      <c r="I932" t="s">
        <v>215</v>
      </c>
    </row>
    <row r="933" spans="8:9" x14ac:dyDescent="0.25">
      <c r="H933" t="s">
        <v>1091</v>
      </c>
      <c r="I933" t="s">
        <v>215</v>
      </c>
    </row>
    <row r="934" spans="8:9" x14ac:dyDescent="0.25">
      <c r="H934" t="s">
        <v>1092</v>
      </c>
      <c r="I934" t="s">
        <v>215</v>
      </c>
    </row>
    <row r="935" spans="8:9" x14ac:dyDescent="0.25">
      <c r="H935" t="s">
        <v>1093</v>
      </c>
      <c r="I935" t="s">
        <v>215</v>
      </c>
    </row>
    <row r="936" spans="8:9" x14ac:dyDescent="0.25">
      <c r="H936" t="s">
        <v>1094</v>
      </c>
      <c r="I936" t="s">
        <v>215</v>
      </c>
    </row>
    <row r="937" spans="8:9" x14ac:dyDescent="0.25">
      <c r="H937" t="s">
        <v>1095</v>
      </c>
      <c r="I937" t="s">
        <v>215</v>
      </c>
    </row>
    <row r="938" spans="8:9" x14ac:dyDescent="0.25">
      <c r="H938" t="s">
        <v>1096</v>
      </c>
      <c r="I938" t="s">
        <v>215</v>
      </c>
    </row>
    <row r="939" spans="8:9" x14ac:dyDescent="0.25">
      <c r="H939" t="s">
        <v>1097</v>
      </c>
      <c r="I939" t="s">
        <v>215</v>
      </c>
    </row>
    <row r="940" spans="8:9" x14ac:dyDescent="0.25">
      <c r="H940" t="s">
        <v>1098</v>
      </c>
      <c r="I940" t="s">
        <v>215</v>
      </c>
    </row>
    <row r="941" spans="8:9" x14ac:dyDescent="0.25">
      <c r="H941" t="s">
        <v>1099</v>
      </c>
      <c r="I941" t="s">
        <v>215</v>
      </c>
    </row>
    <row r="942" spans="8:9" x14ac:dyDescent="0.25">
      <c r="H942" t="s">
        <v>1100</v>
      </c>
      <c r="I942" t="s">
        <v>215</v>
      </c>
    </row>
    <row r="943" spans="8:9" x14ac:dyDescent="0.25">
      <c r="H943" t="s">
        <v>1101</v>
      </c>
      <c r="I943" t="s">
        <v>215</v>
      </c>
    </row>
    <row r="944" spans="8:9" x14ac:dyDescent="0.25">
      <c r="H944" t="s">
        <v>1102</v>
      </c>
      <c r="I944" t="s">
        <v>215</v>
      </c>
    </row>
    <row r="945" spans="8:9" x14ac:dyDescent="0.25">
      <c r="H945" t="s">
        <v>1103</v>
      </c>
      <c r="I945" t="s">
        <v>215</v>
      </c>
    </row>
    <row r="946" spans="8:9" x14ac:dyDescent="0.25">
      <c r="H946" t="s">
        <v>1104</v>
      </c>
      <c r="I946" t="s">
        <v>215</v>
      </c>
    </row>
    <row r="947" spans="8:9" x14ac:dyDescent="0.25">
      <c r="H947" t="s">
        <v>1105</v>
      </c>
      <c r="I947" t="s">
        <v>215</v>
      </c>
    </row>
    <row r="948" spans="8:9" x14ac:dyDescent="0.25">
      <c r="H948" t="s">
        <v>1106</v>
      </c>
      <c r="I948" t="s">
        <v>215</v>
      </c>
    </row>
    <row r="949" spans="8:9" x14ac:dyDescent="0.25">
      <c r="H949" t="s">
        <v>1107</v>
      </c>
      <c r="I949" t="s">
        <v>215</v>
      </c>
    </row>
    <row r="950" spans="8:9" x14ac:dyDescent="0.25">
      <c r="H950" t="s">
        <v>1108</v>
      </c>
      <c r="I950" t="s">
        <v>215</v>
      </c>
    </row>
    <row r="951" spans="8:9" x14ac:dyDescent="0.25">
      <c r="H951" t="s">
        <v>1109</v>
      </c>
      <c r="I951" t="s">
        <v>215</v>
      </c>
    </row>
    <row r="952" spans="8:9" x14ac:dyDescent="0.25">
      <c r="H952" t="s">
        <v>1110</v>
      </c>
      <c r="I952" t="s">
        <v>215</v>
      </c>
    </row>
    <row r="953" spans="8:9" x14ac:dyDescent="0.25">
      <c r="H953" t="s">
        <v>1111</v>
      </c>
      <c r="I953" t="s">
        <v>215</v>
      </c>
    </row>
    <row r="954" spans="8:9" x14ac:dyDescent="0.25">
      <c r="H954" t="s">
        <v>1112</v>
      </c>
      <c r="I954" t="s">
        <v>215</v>
      </c>
    </row>
    <row r="955" spans="8:9" x14ac:dyDescent="0.25">
      <c r="H955" t="s">
        <v>1113</v>
      </c>
      <c r="I955" t="s">
        <v>215</v>
      </c>
    </row>
    <row r="956" spans="8:9" x14ac:dyDescent="0.25">
      <c r="H956" t="s">
        <v>1114</v>
      </c>
      <c r="I956" t="s">
        <v>196</v>
      </c>
    </row>
    <row r="957" spans="8:9" x14ac:dyDescent="0.25">
      <c r="H957" t="s">
        <v>1115</v>
      </c>
      <c r="I957" t="s">
        <v>215</v>
      </c>
    </row>
    <row r="958" spans="8:9" x14ac:dyDescent="0.25">
      <c r="H958" t="s">
        <v>1116</v>
      </c>
      <c r="I958" t="s">
        <v>215</v>
      </c>
    </row>
    <row r="959" spans="8:9" x14ac:dyDescent="0.25">
      <c r="H959" t="s">
        <v>1117</v>
      </c>
      <c r="I959" t="s">
        <v>215</v>
      </c>
    </row>
    <row r="960" spans="8:9" x14ac:dyDescent="0.25">
      <c r="H960" t="s">
        <v>1118</v>
      </c>
      <c r="I960" t="s">
        <v>215</v>
      </c>
    </row>
    <row r="961" spans="8:9" x14ac:dyDescent="0.25">
      <c r="H961" t="s">
        <v>1119</v>
      </c>
      <c r="I961" t="s">
        <v>215</v>
      </c>
    </row>
    <row r="962" spans="8:9" x14ac:dyDescent="0.25">
      <c r="H962" t="s">
        <v>1120</v>
      </c>
      <c r="I962" t="s">
        <v>215</v>
      </c>
    </row>
    <row r="963" spans="8:9" x14ac:dyDescent="0.25">
      <c r="H963" t="s">
        <v>1121</v>
      </c>
      <c r="I963" t="s">
        <v>215</v>
      </c>
    </row>
    <row r="964" spans="8:9" x14ac:dyDescent="0.25">
      <c r="H964" t="s">
        <v>1122</v>
      </c>
      <c r="I964" t="s">
        <v>215</v>
      </c>
    </row>
    <row r="965" spans="8:9" x14ac:dyDescent="0.25">
      <c r="H965" t="s">
        <v>1123</v>
      </c>
      <c r="I965" t="s">
        <v>215</v>
      </c>
    </row>
    <row r="966" spans="8:9" x14ac:dyDescent="0.25">
      <c r="H966" t="s">
        <v>1124</v>
      </c>
      <c r="I966" t="s">
        <v>196</v>
      </c>
    </row>
    <row r="967" spans="8:9" x14ac:dyDescent="0.25">
      <c r="H967" t="s">
        <v>1125</v>
      </c>
      <c r="I967" t="s">
        <v>215</v>
      </c>
    </row>
    <row r="968" spans="8:9" x14ac:dyDescent="0.25">
      <c r="H968" t="s">
        <v>1126</v>
      </c>
      <c r="I968" t="s">
        <v>215</v>
      </c>
    </row>
    <row r="969" spans="8:9" x14ac:dyDescent="0.25">
      <c r="H969" t="s">
        <v>1127</v>
      </c>
      <c r="I969" t="s">
        <v>215</v>
      </c>
    </row>
    <row r="970" spans="8:9" x14ac:dyDescent="0.25">
      <c r="H970" t="s">
        <v>1128</v>
      </c>
      <c r="I970" t="s">
        <v>215</v>
      </c>
    </row>
    <row r="971" spans="8:9" x14ac:dyDescent="0.25">
      <c r="H971" t="s">
        <v>1129</v>
      </c>
      <c r="I971" t="s">
        <v>215</v>
      </c>
    </row>
    <row r="972" spans="8:9" x14ac:dyDescent="0.25">
      <c r="H972" t="s">
        <v>1130</v>
      </c>
      <c r="I972" t="s">
        <v>215</v>
      </c>
    </row>
    <row r="973" spans="8:9" x14ac:dyDescent="0.25">
      <c r="H973" t="s">
        <v>1131</v>
      </c>
      <c r="I973" t="s">
        <v>215</v>
      </c>
    </row>
    <row r="974" spans="8:9" x14ac:dyDescent="0.25">
      <c r="H974" t="s">
        <v>1132</v>
      </c>
      <c r="I974" t="s">
        <v>215</v>
      </c>
    </row>
    <row r="975" spans="8:9" x14ac:dyDescent="0.25">
      <c r="H975" t="s">
        <v>1133</v>
      </c>
      <c r="I975" t="s">
        <v>215</v>
      </c>
    </row>
    <row r="976" spans="8:9" x14ac:dyDescent="0.25">
      <c r="H976" t="s">
        <v>1134</v>
      </c>
      <c r="I976" t="s">
        <v>215</v>
      </c>
    </row>
    <row r="977" spans="8:9" x14ac:dyDescent="0.25">
      <c r="H977" t="s">
        <v>1135</v>
      </c>
      <c r="I977" t="s">
        <v>215</v>
      </c>
    </row>
    <row r="978" spans="8:9" x14ac:dyDescent="0.25">
      <c r="H978" t="s">
        <v>1136</v>
      </c>
      <c r="I978" t="s">
        <v>215</v>
      </c>
    </row>
    <row r="979" spans="8:9" x14ac:dyDescent="0.25">
      <c r="H979" t="s">
        <v>1137</v>
      </c>
      <c r="I979" t="s">
        <v>215</v>
      </c>
    </row>
    <row r="980" spans="8:9" x14ac:dyDescent="0.25">
      <c r="H980" t="s">
        <v>1138</v>
      </c>
      <c r="I980" t="s">
        <v>215</v>
      </c>
    </row>
    <row r="981" spans="8:9" x14ac:dyDescent="0.25">
      <c r="H981" t="s">
        <v>1139</v>
      </c>
      <c r="I981" t="s">
        <v>215</v>
      </c>
    </row>
    <row r="982" spans="8:9" x14ac:dyDescent="0.25">
      <c r="H982" t="s">
        <v>1140</v>
      </c>
      <c r="I982" t="s">
        <v>215</v>
      </c>
    </row>
    <row r="983" spans="8:9" x14ac:dyDescent="0.25">
      <c r="H983" t="s">
        <v>1141</v>
      </c>
      <c r="I983" t="s">
        <v>215</v>
      </c>
    </row>
    <row r="984" spans="8:9" x14ac:dyDescent="0.25">
      <c r="H984" t="s">
        <v>1142</v>
      </c>
      <c r="I984" t="s">
        <v>215</v>
      </c>
    </row>
    <row r="985" spans="8:9" x14ac:dyDescent="0.25">
      <c r="H985" t="s">
        <v>1143</v>
      </c>
      <c r="I985" t="s">
        <v>215</v>
      </c>
    </row>
    <row r="986" spans="8:9" x14ac:dyDescent="0.25">
      <c r="H986" t="s">
        <v>1144</v>
      </c>
      <c r="I986" t="s">
        <v>215</v>
      </c>
    </row>
    <row r="987" spans="8:9" x14ac:dyDescent="0.25">
      <c r="H987" t="s">
        <v>1145</v>
      </c>
      <c r="I987" t="s">
        <v>215</v>
      </c>
    </row>
    <row r="988" spans="8:9" x14ac:dyDescent="0.25">
      <c r="H988" t="s">
        <v>1146</v>
      </c>
      <c r="I988" t="s">
        <v>215</v>
      </c>
    </row>
    <row r="989" spans="8:9" x14ac:dyDescent="0.25">
      <c r="H989" t="s">
        <v>1147</v>
      </c>
      <c r="I989" t="s">
        <v>215</v>
      </c>
    </row>
    <row r="990" spans="8:9" x14ac:dyDescent="0.25">
      <c r="H990" t="s">
        <v>1148</v>
      </c>
      <c r="I990" t="s">
        <v>215</v>
      </c>
    </row>
    <row r="991" spans="8:9" x14ac:dyDescent="0.25">
      <c r="H991" t="s">
        <v>1149</v>
      </c>
      <c r="I991" t="s">
        <v>215</v>
      </c>
    </row>
    <row r="992" spans="8:9" x14ac:dyDescent="0.25">
      <c r="H992" t="s">
        <v>1150</v>
      </c>
      <c r="I992" t="s">
        <v>215</v>
      </c>
    </row>
    <row r="993" spans="8:9" x14ac:dyDescent="0.25">
      <c r="H993" t="s">
        <v>1151</v>
      </c>
      <c r="I993" t="s">
        <v>215</v>
      </c>
    </row>
    <row r="994" spans="8:9" x14ac:dyDescent="0.25">
      <c r="H994" t="s">
        <v>1152</v>
      </c>
      <c r="I994" t="s">
        <v>215</v>
      </c>
    </row>
    <row r="995" spans="8:9" x14ac:dyDescent="0.25">
      <c r="H995" t="s">
        <v>1153</v>
      </c>
      <c r="I995" t="s">
        <v>215</v>
      </c>
    </row>
    <row r="996" spans="8:9" x14ac:dyDescent="0.25">
      <c r="H996" t="s">
        <v>1154</v>
      </c>
      <c r="I996" t="s">
        <v>215</v>
      </c>
    </row>
    <row r="997" spans="8:9" x14ac:dyDescent="0.25">
      <c r="H997" t="s">
        <v>1155</v>
      </c>
      <c r="I997" t="s">
        <v>215</v>
      </c>
    </row>
    <row r="998" spans="8:9" x14ac:dyDescent="0.25">
      <c r="H998" t="s">
        <v>1156</v>
      </c>
      <c r="I998" t="s">
        <v>215</v>
      </c>
    </row>
    <row r="999" spans="8:9" x14ac:dyDescent="0.25">
      <c r="H999" t="s">
        <v>1157</v>
      </c>
      <c r="I999" t="s">
        <v>215</v>
      </c>
    </row>
    <row r="1000" spans="8:9" x14ac:dyDescent="0.25">
      <c r="H1000" t="s">
        <v>1158</v>
      </c>
      <c r="I1000" t="s">
        <v>215</v>
      </c>
    </row>
    <row r="1001" spans="8:9" x14ac:dyDescent="0.25">
      <c r="H1001" t="s">
        <v>1159</v>
      </c>
      <c r="I1001" t="s">
        <v>215</v>
      </c>
    </row>
    <row r="1002" spans="8:9" x14ac:dyDescent="0.25">
      <c r="H1002" t="s">
        <v>1160</v>
      </c>
      <c r="I1002" t="s">
        <v>215</v>
      </c>
    </row>
    <row r="1003" spans="8:9" x14ac:dyDescent="0.25">
      <c r="H1003" t="s">
        <v>1161</v>
      </c>
      <c r="I1003" t="s">
        <v>215</v>
      </c>
    </row>
    <row r="1004" spans="8:9" x14ac:dyDescent="0.25">
      <c r="H1004" t="s">
        <v>1162</v>
      </c>
      <c r="I1004" t="s">
        <v>215</v>
      </c>
    </row>
    <row r="1005" spans="8:9" x14ac:dyDescent="0.25">
      <c r="H1005" t="s">
        <v>1163</v>
      </c>
      <c r="I1005" t="s">
        <v>215</v>
      </c>
    </row>
    <row r="1006" spans="8:9" x14ac:dyDescent="0.25">
      <c r="H1006" t="s">
        <v>1164</v>
      </c>
      <c r="I1006" t="s">
        <v>215</v>
      </c>
    </row>
    <row r="1007" spans="8:9" x14ac:dyDescent="0.25">
      <c r="H1007" t="s">
        <v>1165</v>
      </c>
      <c r="I1007" t="s">
        <v>215</v>
      </c>
    </row>
    <row r="1008" spans="8:9" x14ac:dyDescent="0.25">
      <c r="H1008" t="s">
        <v>1166</v>
      </c>
      <c r="I1008" t="s">
        <v>215</v>
      </c>
    </row>
    <row r="1009" spans="8:9" x14ac:dyDescent="0.25">
      <c r="H1009" t="s">
        <v>1167</v>
      </c>
      <c r="I1009" t="s">
        <v>215</v>
      </c>
    </row>
    <row r="1010" spans="8:9" x14ac:dyDescent="0.25">
      <c r="H1010" t="s">
        <v>1168</v>
      </c>
      <c r="I1010" t="s">
        <v>215</v>
      </c>
    </row>
    <row r="1011" spans="8:9" x14ac:dyDescent="0.25">
      <c r="H1011" t="s">
        <v>1169</v>
      </c>
      <c r="I1011" t="s">
        <v>215</v>
      </c>
    </row>
    <row r="1012" spans="8:9" x14ac:dyDescent="0.25">
      <c r="H1012" t="s">
        <v>1170</v>
      </c>
      <c r="I1012" t="s">
        <v>215</v>
      </c>
    </row>
    <row r="1013" spans="8:9" x14ac:dyDescent="0.25">
      <c r="H1013" t="s">
        <v>1171</v>
      </c>
      <c r="I1013" t="s">
        <v>215</v>
      </c>
    </row>
    <row r="1014" spans="8:9" x14ac:dyDescent="0.25">
      <c r="H1014" t="s">
        <v>1172</v>
      </c>
      <c r="I1014" t="s">
        <v>215</v>
      </c>
    </row>
    <row r="1015" spans="8:9" x14ac:dyDescent="0.25">
      <c r="H1015" t="s">
        <v>1173</v>
      </c>
      <c r="I1015" t="s">
        <v>215</v>
      </c>
    </row>
    <row r="1016" spans="8:9" x14ac:dyDescent="0.25">
      <c r="H1016" t="s">
        <v>1174</v>
      </c>
      <c r="I1016" t="s">
        <v>215</v>
      </c>
    </row>
    <row r="1017" spans="8:9" x14ac:dyDescent="0.25">
      <c r="H1017" t="s">
        <v>1175</v>
      </c>
      <c r="I1017" t="s">
        <v>215</v>
      </c>
    </row>
    <row r="1018" spans="8:9" x14ac:dyDescent="0.25">
      <c r="H1018" t="s">
        <v>1176</v>
      </c>
      <c r="I1018" t="s">
        <v>215</v>
      </c>
    </row>
    <row r="1019" spans="8:9" x14ac:dyDescent="0.25">
      <c r="H1019" t="s">
        <v>1177</v>
      </c>
      <c r="I1019" t="s">
        <v>215</v>
      </c>
    </row>
    <row r="1020" spans="8:9" x14ac:dyDescent="0.25">
      <c r="H1020" t="s">
        <v>1178</v>
      </c>
      <c r="I1020" t="s">
        <v>215</v>
      </c>
    </row>
    <row r="1021" spans="8:9" x14ac:dyDescent="0.25">
      <c r="H1021" t="s">
        <v>1179</v>
      </c>
      <c r="I1021" t="s">
        <v>215</v>
      </c>
    </row>
    <row r="1022" spans="8:9" x14ac:dyDescent="0.25">
      <c r="H1022" t="s">
        <v>1180</v>
      </c>
      <c r="I1022" t="s">
        <v>215</v>
      </c>
    </row>
    <row r="1023" spans="8:9" x14ac:dyDescent="0.25">
      <c r="H1023" t="s">
        <v>1181</v>
      </c>
      <c r="I1023" t="s">
        <v>215</v>
      </c>
    </row>
    <row r="1024" spans="8:9" x14ac:dyDescent="0.25">
      <c r="H1024" t="s">
        <v>1182</v>
      </c>
      <c r="I1024" t="s">
        <v>215</v>
      </c>
    </row>
    <row r="1025" spans="8:9" x14ac:dyDescent="0.25">
      <c r="H1025" t="s">
        <v>1183</v>
      </c>
      <c r="I1025" t="s">
        <v>215</v>
      </c>
    </row>
    <row r="1026" spans="8:9" x14ac:dyDescent="0.25">
      <c r="H1026" t="s">
        <v>1184</v>
      </c>
      <c r="I1026" t="s">
        <v>215</v>
      </c>
    </row>
    <row r="1027" spans="8:9" x14ac:dyDescent="0.25">
      <c r="H1027" t="s">
        <v>1185</v>
      </c>
      <c r="I1027" t="s">
        <v>215</v>
      </c>
    </row>
    <row r="1028" spans="8:9" x14ac:dyDescent="0.25">
      <c r="H1028" t="s">
        <v>1186</v>
      </c>
      <c r="I1028" t="s">
        <v>215</v>
      </c>
    </row>
    <row r="1029" spans="8:9" x14ac:dyDescent="0.25">
      <c r="H1029" t="s">
        <v>1187</v>
      </c>
      <c r="I1029" t="s">
        <v>215</v>
      </c>
    </row>
    <row r="1030" spans="8:9" x14ac:dyDescent="0.25">
      <c r="H1030" t="s">
        <v>1188</v>
      </c>
      <c r="I1030" t="s">
        <v>215</v>
      </c>
    </row>
    <row r="1031" spans="8:9" x14ac:dyDescent="0.25">
      <c r="H1031" t="s">
        <v>1189</v>
      </c>
      <c r="I1031" t="s">
        <v>215</v>
      </c>
    </row>
    <row r="1032" spans="8:9" x14ac:dyDescent="0.25">
      <c r="H1032" t="s">
        <v>1190</v>
      </c>
      <c r="I1032" t="s">
        <v>215</v>
      </c>
    </row>
    <row r="1033" spans="8:9" x14ac:dyDescent="0.25">
      <c r="H1033" t="s">
        <v>1191</v>
      </c>
      <c r="I1033" t="s">
        <v>215</v>
      </c>
    </row>
    <row r="1034" spans="8:9" x14ac:dyDescent="0.25">
      <c r="H1034" t="s">
        <v>1192</v>
      </c>
      <c r="I1034" t="s">
        <v>215</v>
      </c>
    </row>
    <row r="1035" spans="8:9" x14ac:dyDescent="0.25">
      <c r="H1035" t="s">
        <v>1193</v>
      </c>
      <c r="I1035" t="s">
        <v>215</v>
      </c>
    </row>
    <row r="1036" spans="8:9" x14ac:dyDescent="0.25">
      <c r="H1036" t="s">
        <v>1194</v>
      </c>
      <c r="I1036" t="s">
        <v>215</v>
      </c>
    </row>
    <row r="1037" spans="8:9" x14ac:dyDescent="0.25">
      <c r="H1037" t="s">
        <v>1195</v>
      </c>
      <c r="I1037" t="s">
        <v>215</v>
      </c>
    </row>
    <row r="1038" spans="8:9" x14ac:dyDescent="0.25">
      <c r="H1038" t="s">
        <v>1196</v>
      </c>
      <c r="I1038" t="s">
        <v>215</v>
      </c>
    </row>
    <row r="1039" spans="8:9" x14ac:dyDescent="0.25">
      <c r="H1039" t="s">
        <v>1197</v>
      </c>
      <c r="I1039" t="s">
        <v>215</v>
      </c>
    </row>
    <row r="1040" spans="8:9" x14ac:dyDescent="0.25">
      <c r="H1040" t="s">
        <v>1198</v>
      </c>
      <c r="I1040" t="s">
        <v>215</v>
      </c>
    </row>
    <row r="1041" spans="8:9" x14ac:dyDescent="0.25">
      <c r="H1041" t="s">
        <v>1199</v>
      </c>
      <c r="I1041" t="s">
        <v>215</v>
      </c>
    </row>
    <row r="1042" spans="8:9" x14ac:dyDescent="0.25">
      <c r="H1042" t="s">
        <v>1200</v>
      </c>
      <c r="I1042" t="s">
        <v>215</v>
      </c>
    </row>
    <row r="1043" spans="8:9" x14ac:dyDescent="0.25">
      <c r="H1043" t="s">
        <v>1201</v>
      </c>
      <c r="I1043" t="s">
        <v>215</v>
      </c>
    </row>
    <row r="1044" spans="8:9" x14ac:dyDescent="0.25">
      <c r="H1044" t="s">
        <v>1202</v>
      </c>
      <c r="I1044" t="s">
        <v>215</v>
      </c>
    </row>
    <row r="1045" spans="8:9" x14ac:dyDescent="0.25">
      <c r="H1045" t="s">
        <v>1203</v>
      </c>
      <c r="I1045" t="s">
        <v>215</v>
      </c>
    </row>
    <row r="1046" spans="8:9" x14ac:dyDescent="0.25">
      <c r="H1046" t="s">
        <v>1204</v>
      </c>
      <c r="I1046" t="s">
        <v>215</v>
      </c>
    </row>
    <row r="1047" spans="8:9" x14ac:dyDescent="0.25">
      <c r="H1047" t="s">
        <v>1205</v>
      </c>
      <c r="I1047" t="s">
        <v>215</v>
      </c>
    </row>
    <row r="1048" spans="8:9" x14ac:dyDescent="0.25">
      <c r="H1048" t="s">
        <v>1206</v>
      </c>
      <c r="I1048" t="s">
        <v>215</v>
      </c>
    </row>
    <row r="1049" spans="8:9" x14ac:dyDescent="0.25">
      <c r="H1049" t="s">
        <v>1207</v>
      </c>
      <c r="I1049" t="s">
        <v>215</v>
      </c>
    </row>
    <row r="1050" spans="8:9" x14ac:dyDescent="0.25">
      <c r="H1050" t="s">
        <v>1208</v>
      </c>
      <c r="I1050" t="s">
        <v>215</v>
      </c>
    </row>
    <row r="1051" spans="8:9" x14ac:dyDescent="0.25">
      <c r="H1051" t="s">
        <v>1209</v>
      </c>
      <c r="I1051" t="s">
        <v>215</v>
      </c>
    </row>
    <row r="1052" spans="8:9" x14ac:dyDescent="0.25">
      <c r="H1052" t="s">
        <v>1210</v>
      </c>
      <c r="I1052" t="s">
        <v>215</v>
      </c>
    </row>
    <row r="1053" spans="8:9" x14ac:dyDescent="0.25">
      <c r="H1053" t="s">
        <v>1211</v>
      </c>
      <c r="I1053" t="s">
        <v>215</v>
      </c>
    </row>
    <row r="1054" spans="8:9" x14ac:dyDescent="0.25">
      <c r="H1054" t="s">
        <v>1212</v>
      </c>
      <c r="I1054" t="s">
        <v>215</v>
      </c>
    </row>
    <row r="1055" spans="8:9" x14ac:dyDescent="0.25">
      <c r="H1055" t="s">
        <v>1213</v>
      </c>
      <c r="I1055" t="s">
        <v>215</v>
      </c>
    </row>
    <row r="1056" spans="8:9" x14ac:dyDescent="0.25">
      <c r="H1056" t="s">
        <v>1214</v>
      </c>
      <c r="I1056" t="s">
        <v>215</v>
      </c>
    </row>
    <row r="1057" spans="8:9" x14ac:dyDescent="0.25">
      <c r="H1057" t="s">
        <v>1215</v>
      </c>
      <c r="I1057" t="s">
        <v>215</v>
      </c>
    </row>
    <row r="1058" spans="8:9" x14ac:dyDescent="0.25">
      <c r="H1058" t="s">
        <v>1216</v>
      </c>
      <c r="I1058" t="s">
        <v>215</v>
      </c>
    </row>
    <row r="1059" spans="8:9" x14ac:dyDescent="0.25">
      <c r="H1059" t="s">
        <v>1217</v>
      </c>
      <c r="I1059" t="s">
        <v>215</v>
      </c>
    </row>
    <row r="1060" spans="8:9" x14ac:dyDescent="0.25">
      <c r="H1060" t="s">
        <v>1218</v>
      </c>
      <c r="I1060" t="s">
        <v>215</v>
      </c>
    </row>
    <row r="1061" spans="8:9" x14ac:dyDescent="0.25">
      <c r="H1061" t="s">
        <v>1219</v>
      </c>
      <c r="I1061" t="s">
        <v>215</v>
      </c>
    </row>
    <row r="1062" spans="8:9" x14ac:dyDescent="0.25">
      <c r="H1062" t="s">
        <v>1220</v>
      </c>
      <c r="I1062" t="s">
        <v>215</v>
      </c>
    </row>
    <row r="1063" spans="8:9" x14ac:dyDescent="0.25">
      <c r="H1063" t="s">
        <v>1221</v>
      </c>
      <c r="I1063" t="s">
        <v>215</v>
      </c>
    </row>
    <row r="1064" spans="8:9" x14ac:dyDescent="0.25">
      <c r="H1064" t="s">
        <v>1222</v>
      </c>
      <c r="I1064" t="s">
        <v>215</v>
      </c>
    </row>
    <row r="1065" spans="8:9" x14ac:dyDescent="0.25">
      <c r="H1065" t="s">
        <v>1223</v>
      </c>
      <c r="I1065" t="s">
        <v>215</v>
      </c>
    </row>
    <row r="1066" spans="8:9" x14ac:dyDescent="0.25">
      <c r="H1066" t="s">
        <v>1224</v>
      </c>
      <c r="I1066" t="s">
        <v>215</v>
      </c>
    </row>
    <row r="1067" spans="8:9" x14ac:dyDescent="0.25">
      <c r="H1067" t="s">
        <v>1225</v>
      </c>
      <c r="I1067" t="s">
        <v>215</v>
      </c>
    </row>
    <row r="1068" spans="8:9" x14ac:dyDescent="0.25">
      <c r="H1068" t="s">
        <v>1226</v>
      </c>
      <c r="I1068" t="s">
        <v>215</v>
      </c>
    </row>
    <row r="1069" spans="8:9" x14ac:dyDescent="0.25">
      <c r="H1069" t="s">
        <v>1227</v>
      </c>
      <c r="I1069" t="s">
        <v>215</v>
      </c>
    </row>
    <row r="1070" spans="8:9" x14ac:dyDescent="0.25">
      <c r="H1070" t="s">
        <v>1228</v>
      </c>
      <c r="I1070" t="s">
        <v>215</v>
      </c>
    </row>
    <row r="1071" spans="8:9" x14ac:dyDescent="0.25">
      <c r="H1071" t="s">
        <v>1229</v>
      </c>
      <c r="I1071" t="s">
        <v>215</v>
      </c>
    </row>
    <row r="1072" spans="8:9" x14ac:dyDescent="0.25">
      <c r="H1072" t="s">
        <v>1230</v>
      </c>
      <c r="I1072" t="s">
        <v>215</v>
      </c>
    </row>
    <row r="1073" spans="8:9" x14ac:dyDescent="0.25">
      <c r="H1073" t="s">
        <v>1231</v>
      </c>
      <c r="I1073" t="s">
        <v>215</v>
      </c>
    </row>
    <row r="1074" spans="8:9" x14ac:dyDescent="0.25">
      <c r="H1074" t="s">
        <v>1232</v>
      </c>
      <c r="I1074" t="s">
        <v>215</v>
      </c>
    </row>
    <row r="1075" spans="8:9" x14ac:dyDescent="0.25">
      <c r="H1075" t="s">
        <v>1233</v>
      </c>
      <c r="I1075" t="s">
        <v>215</v>
      </c>
    </row>
    <row r="1076" spans="8:9" x14ac:dyDescent="0.25">
      <c r="H1076" t="s">
        <v>1234</v>
      </c>
      <c r="I1076" t="s">
        <v>215</v>
      </c>
    </row>
    <row r="1077" spans="8:9" x14ac:dyDescent="0.25">
      <c r="H1077" t="s">
        <v>1235</v>
      </c>
      <c r="I1077" t="s">
        <v>215</v>
      </c>
    </row>
    <row r="1078" spans="8:9" x14ac:dyDescent="0.25">
      <c r="H1078" t="s">
        <v>1236</v>
      </c>
      <c r="I1078" t="s">
        <v>215</v>
      </c>
    </row>
    <row r="1079" spans="8:9" x14ac:dyDescent="0.25">
      <c r="H1079" t="s">
        <v>1237</v>
      </c>
      <c r="I1079" t="s">
        <v>215</v>
      </c>
    </row>
    <row r="1080" spans="8:9" x14ac:dyDescent="0.25">
      <c r="H1080" t="s">
        <v>1238</v>
      </c>
      <c r="I1080" t="s">
        <v>215</v>
      </c>
    </row>
    <row r="1081" spans="8:9" x14ac:dyDescent="0.25">
      <c r="H1081" t="s">
        <v>1239</v>
      </c>
      <c r="I1081" t="s">
        <v>215</v>
      </c>
    </row>
    <row r="1082" spans="8:9" x14ac:dyDescent="0.25">
      <c r="H1082" t="s">
        <v>1240</v>
      </c>
      <c r="I1082" t="s">
        <v>215</v>
      </c>
    </row>
    <row r="1083" spans="8:9" x14ac:dyDescent="0.25">
      <c r="H1083" t="s">
        <v>1241</v>
      </c>
      <c r="I1083" t="s">
        <v>215</v>
      </c>
    </row>
    <row r="1084" spans="8:9" x14ac:dyDescent="0.25">
      <c r="H1084" t="s">
        <v>1242</v>
      </c>
      <c r="I1084" t="s">
        <v>215</v>
      </c>
    </row>
    <row r="1085" spans="8:9" x14ac:dyDescent="0.25">
      <c r="H1085" t="s">
        <v>1243</v>
      </c>
      <c r="I1085" t="s">
        <v>215</v>
      </c>
    </row>
    <row r="1086" spans="8:9" x14ac:dyDescent="0.25">
      <c r="H1086" t="s">
        <v>1244</v>
      </c>
      <c r="I1086" t="s">
        <v>215</v>
      </c>
    </row>
    <row r="1087" spans="8:9" x14ac:dyDescent="0.25">
      <c r="H1087" t="s">
        <v>1245</v>
      </c>
      <c r="I1087" t="s">
        <v>215</v>
      </c>
    </row>
    <row r="1088" spans="8:9" x14ac:dyDescent="0.25">
      <c r="H1088" t="s">
        <v>1246</v>
      </c>
      <c r="I1088" t="s">
        <v>215</v>
      </c>
    </row>
    <row r="1089" spans="8:9" x14ac:dyDescent="0.25">
      <c r="H1089" t="s">
        <v>1247</v>
      </c>
      <c r="I1089" t="s">
        <v>215</v>
      </c>
    </row>
    <row r="1090" spans="8:9" x14ac:dyDescent="0.25">
      <c r="H1090" t="s">
        <v>1248</v>
      </c>
      <c r="I1090" t="s">
        <v>215</v>
      </c>
    </row>
    <row r="1091" spans="8:9" x14ac:dyDescent="0.25">
      <c r="H1091" t="s">
        <v>1249</v>
      </c>
      <c r="I1091" t="s">
        <v>215</v>
      </c>
    </row>
    <row r="1092" spans="8:9" x14ac:dyDescent="0.25">
      <c r="H1092" t="s">
        <v>1250</v>
      </c>
      <c r="I1092" t="s">
        <v>215</v>
      </c>
    </row>
    <row r="1093" spans="8:9" x14ac:dyDescent="0.25">
      <c r="H1093" t="s">
        <v>1251</v>
      </c>
      <c r="I1093" t="s">
        <v>215</v>
      </c>
    </row>
    <row r="1094" spans="8:9" x14ac:dyDescent="0.25">
      <c r="H1094" t="s">
        <v>1252</v>
      </c>
      <c r="I1094" t="s">
        <v>196</v>
      </c>
    </row>
    <row r="1095" spans="8:9" x14ac:dyDescent="0.25">
      <c r="H1095" t="s">
        <v>1253</v>
      </c>
      <c r="I1095" t="s">
        <v>196</v>
      </c>
    </row>
    <row r="1096" spans="8:9" x14ac:dyDescent="0.25">
      <c r="H1096" t="s">
        <v>1254</v>
      </c>
      <c r="I1096" t="s">
        <v>196</v>
      </c>
    </row>
    <row r="1097" spans="8:9" x14ac:dyDescent="0.25">
      <c r="H1097" t="s">
        <v>1255</v>
      </c>
      <c r="I1097" t="s">
        <v>201</v>
      </c>
    </row>
    <row r="1098" spans="8:9" x14ac:dyDescent="0.25">
      <c r="H1098" t="s">
        <v>1256</v>
      </c>
      <c r="I1098" t="s">
        <v>196</v>
      </c>
    </row>
    <row r="1099" spans="8:9" x14ac:dyDescent="0.25">
      <c r="H1099" t="s">
        <v>1257</v>
      </c>
      <c r="I1099" t="s">
        <v>196</v>
      </c>
    </row>
    <row r="1100" spans="8:9" x14ac:dyDescent="0.25">
      <c r="H1100" t="s">
        <v>142</v>
      </c>
      <c r="I1100" t="s">
        <v>196</v>
      </c>
    </row>
    <row r="1101" spans="8:9" x14ac:dyDescent="0.25">
      <c r="H1101" t="s">
        <v>1258</v>
      </c>
      <c r="I1101" t="s">
        <v>196</v>
      </c>
    </row>
    <row r="1102" spans="8:9" x14ac:dyDescent="0.25">
      <c r="H1102" t="s">
        <v>1259</v>
      </c>
      <c r="I1102" t="s">
        <v>201</v>
      </c>
    </row>
    <row r="1103" spans="8:9" x14ac:dyDescent="0.25">
      <c r="H1103" t="s">
        <v>1260</v>
      </c>
      <c r="I1103" t="s">
        <v>196</v>
      </c>
    </row>
    <row r="1104" spans="8:9" x14ac:dyDescent="0.25">
      <c r="H1104" t="s">
        <v>1261</v>
      </c>
      <c r="I1104" t="s">
        <v>196</v>
      </c>
    </row>
    <row r="1105" spans="8:9" x14ac:dyDescent="0.25">
      <c r="H1105" t="s">
        <v>1262</v>
      </c>
      <c r="I1105" t="s">
        <v>201</v>
      </c>
    </row>
    <row r="1106" spans="8:9" x14ac:dyDescent="0.25">
      <c r="H1106" t="s">
        <v>1263</v>
      </c>
      <c r="I1106" t="s">
        <v>196</v>
      </c>
    </row>
    <row r="1107" spans="8:9" x14ac:dyDescent="0.25">
      <c r="H1107" t="s">
        <v>188</v>
      </c>
      <c r="I1107" t="s">
        <v>196</v>
      </c>
    </row>
    <row r="1108" spans="8:9" x14ac:dyDescent="0.25">
      <c r="H1108" t="s">
        <v>1264</v>
      </c>
      <c r="I1108" t="s">
        <v>196</v>
      </c>
    </row>
    <row r="1109" spans="8:9" x14ac:dyDescent="0.25">
      <c r="H1109" t="s">
        <v>1265</v>
      </c>
      <c r="I1109" t="s">
        <v>196</v>
      </c>
    </row>
    <row r="1110" spans="8:9" x14ac:dyDescent="0.25">
      <c r="H1110" t="s">
        <v>1266</v>
      </c>
      <c r="I1110" t="s">
        <v>196</v>
      </c>
    </row>
    <row r="1111" spans="8:9" x14ac:dyDescent="0.25">
      <c r="H1111" t="s">
        <v>1267</v>
      </c>
      <c r="I1111" t="s">
        <v>196</v>
      </c>
    </row>
    <row r="1112" spans="8:9" x14ac:dyDescent="0.25">
      <c r="H1112" t="s">
        <v>1268</v>
      </c>
      <c r="I1112" t="s">
        <v>196</v>
      </c>
    </row>
    <row r="1113" spans="8:9" x14ac:dyDescent="0.25">
      <c r="H1113" t="s">
        <v>1269</v>
      </c>
      <c r="I1113" t="s">
        <v>196</v>
      </c>
    </row>
    <row r="1114" spans="8:9" x14ac:dyDescent="0.25">
      <c r="H1114" t="s">
        <v>1270</v>
      </c>
      <c r="I1114" t="s">
        <v>196</v>
      </c>
    </row>
    <row r="1115" spans="8:9" x14ac:dyDescent="0.25">
      <c r="H1115" t="s">
        <v>1271</v>
      </c>
      <c r="I1115" t="s">
        <v>196</v>
      </c>
    </row>
    <row r="1116" spans="8:9" x14ac:dyDescent="0.25">
      <c r="H1116" t="s">
        <v>1272</v>
      </c>
      <c r="I1116" t="s">
        <v>201</v>
      </c>
    </row>
    <row r="1117" spans="8:9" x14ac:dyDescent="0.25">
      <c r="H1117" t="s">
        <v>1273</v>
      </c>
      <c r="I1117" t="s">
        <v>196</v>
      </c>
    </row>
    <row r="1118" spans="8:9" x14ac:dyDescent="0.25">
      <c r="H1118" t="s">
        <v>155</v>
      </c>
      <c r="I1118" t="s">
        <v>196</v>
      </c>
    </row>
    <row r="1119" spans="8:9" x14ac:dyDescent="0.25">
      <c r="H1119" t="s">
        <v>1274</v>
      </c>
      <c r="I1119" t="s">
        <v>201</v>
      </c>
    </row>
    <row r="1120" spans="8:9" x14ac:dyDescent="0.25">
      <c r="H1120" t="s">
        <v>1275</v>
      </c>
      <c r="I1120" t="s">
        <v>196</v>
      </c>
    </row>
    <row r="1121" spans="8:9" x14ac:dyDescent="0.25">
      <c r="H1121" t="s">
        <v>1276</v>
      </c>
      <c r="I1121" t="s">
        <v>201</v>
      </c>
    </row>
    <row r="1122" spans="8:9" x14ac:dyDescent="0.25">
      <c r="H1122" t="s">
        <v>1277</v>
      </c>
      <c r="I1122" t="s">
        <v>196</v>
      </c>
    </row>
    <row r="1123" spans="8:9" x14ac:dyDescent="0.25">
      <c r="H1123" t="s">
        <v>1278</v>
      </c>
      <c r="I1123" t="s">
        <v>201</v>
      </c>
    </row>
    <row r="1124" spans="8:9" x14ac:dyDescent="0.25">
      <c r="H1124" t="s">
        <v>1279</v>
      </c>
      <c r="I1124" t="s">
        <v>196</v>
      </c>
    </row>
    <row r="1125" spans="8:9" x14ac:dyDescent="0.25">
      <c r="H1125" t="s">
        <v>1280</v>
      </c>
      <c r="I1125" t="s">
        <v>201</v>
      </c>
    </row>
    <row r="1126" spans="8:9" x14ac:dyDescent="0.25">
      <c r="H1126" t="s">
        <v>1281</v>
      </c>
      <c r="I1126" t="s">
        <v>201</v>
      </c>
    </row>
    <row r="1127" spans="8:9" x14ac:dyDescent="0.25">
      <c r="H1127" t="s">
        <v>1282</v>
      </c>
      <c r="I1127" t="s">
        <v>201</v>
      </c>
    </row>
    <row r="1128" spans="8:9" x14ac:dyDescent="0.25">
      <c r="H1128" t="s">
        <v>160</v>
      </c>
      <c r="I1128" t="s">
        <v>201</v>
      </c>
    </row>
    <row r="1129" spans="8:9" x14ac:dyDescent="0.25">
      <c r="H1129" t="s">
        <v>1283</v>
      </c>
      <c r="I1129" t="s">
        <v>196</v>
      </c>
    </row>
    <row r="1130" spans="8:9" x14ac:dyDescent="0.25">
      <c r="H1130" t="s">
        <v>1284</v>
      </c>
      <c r="I1130" t="s">
        <v>196</v>
      </c>
    </row>
    <row r="1131" spans="8:9" x14ac:dyDescent="0.25">
      <c r="H1131" t="s">
        <v>178</v>
      </c>
      <c r="I1131" t="s">
        <v>196</v>
      </c>
    </row>
    <row r="1132" spans="8:9" x14ac:dyDescent="0.25">
      <c r="H1132" t="s">
        <v>1285</v>
      </c>
      <c r="I1132" t="s">
        <v>201</v>
      </c>
    </row>
    <row r="1133" spans="8:9" x14ac:dyDescent="0.25">
      <c r="H1133" t="s">
        <v>1286</v>
      </c>
      <c r="I1133" t="s">
        <v>196</v>
      </c>
    </row>
    <row r="1134" spans="8:9" x14ac:dyDescent="0.25">
      <c r="H1134" t="s">
        <v>1287</v>
      </c>
      <c r="I1134" t="s">
        <v>201</v>
      </c>
    </row>
    <row r="1135" spans="8:9" x14ac:dyDescent="0.25">
      <c r="H1135" t="s">
        <v>173</v>
      </c>
      <c r="I1135" t="s">
        <v>201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88292C-C59C-4F95-848E-D10E862D18A0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ccd902d-67db-4830-8a33-740b42759700}" enabled="0" method="" siteId="{eccd902d-67db-4830-8a33-740b4275970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Consulta1</vt:lpstr>
      <vt:lpstr>instrumento</vt:lpstr>
      <vt:lpstr>duracion</vt:lpstr>
      <vt:lpstr>moneda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Valeria Cabrera</dc:creator>
  <cp:keywords/>
  <dc:description/>
  <cp:lastModifiedBy>María Isabel Velasco Retamal</cp:lastModifiedBy>
  <cp:revision/>
  <dcterms:created xsi:type="dcterms:W3CDTF">2026-03-30T14:26:53Z</dcterms:created>
  <dcterms:modified xsi:type="dcterms:W3CDTF">2026-05-12T12:57:33Z</dcterms:modified>
  <cp:category/>
  <cp:contentStatus/>
</cp:coreProperties>
</file>